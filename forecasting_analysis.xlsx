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pivotTables/pivotTable1.xml" ContentType="application/vnd.openxmlformats-officedocument.spreadsheetml.pivotTable+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24226"/>
  <mc:AlternateContent xmlns:mc="http://schemas.openxmlformats.org/markup-compatibility/2006">
    <mc:Choice Requires="x15">
      <x15ac:absPath xmlns:x15ac="http://schemas.microsoft.com/office/spreadsheetml/2010/11/ac" url="C:\Users\Gleb\Desktop\Курсы\Стажировки\Лента\"/>
    </mc:Choice>
  </mc:AlternateContent>
  <xr:revisionPtr revIDLastSave="0" documentId="13_ncr:1_{835C7E5F-3123-4308-AC3F-08E1FA24BC71}" xr6:coauthVersionLast="47" xr6:coauthVersionMax="47" xr10:uidLastSave="{00000000-0000-0000-0000-000000000000}"/>
  <bookViews>
    <workbookView xWindow="-120" yWindow="-120" windowWidth="29040" windowHeight="15840" activeTab="1" xr2:uid="{00000000-000D-0000-FFFF-FFFF00000000}"/>
  </bookViews>
  <sheets>
    <sheet name="Задача 1" sheetId="1" r:id="rId1"/>
    <sheet name="Задача 2 " sheetId="7" r:id="rId2"/>
    <sheet name="Задача 3" sheetId="2" r:id="rId3"/>
    <sheet name="Тест" sheetId="5" r:id="rId4"/>
  </sheets>
  <calcPr calcId="191029"/>
  <pivotCaches>
    <pivotCache cacheId="0" r:id="rId5"/>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J8" i="7" l="1"/>
  <c r="J9" i="7"/>
  <c r="J16" i="7"/>
  <c r="J17" i="7"/>
  <c r="J24" i="7"/>
  <c r="J25" i="7"/>
  <c r="I8" i="7"/>
  <c r="I12" i="7"/>
  <c r="I16" i="7"/>
  <c r="I20" i="7"/>
  <c r="I24" i="7"/>
  <c r="H5" i="7"/>
  <c r="H6" i="7"/>
  <c r="H7" i="7"/>
  <c r="H8" i="7"/>
  <c r="H9" i="7"/>
  <c r="H10" i="7"/>
  <c r="H11" i="7"/>
  <c r="H12" i="7"/>
  <c r="H13" i="7"/>
  <c r="H14" i="7"/>
  <c r="H15" i="7"/>
  <c r="H16" i="7"/>
  <c r="H17" i="7"/>
  <c r="H18" i="7"/>
  <c r="H19" i="7"/>
  <c r="H20" i="7"/>
  <c r="H21" i="7"/>
  <c r="H22" i="7"/>
  <c r="H23" i="7"/>
  <c r="H24" i="7"/>
  <c r="H25" i="7"/>
  <c r="H26" i="7"/>
  <c r="H4" i="7"/>
  <c r="G5" i="7"/>
  <c r="I5" i="7" s="1"/>
  <c r="G6" i="7"/>
  <c r="I6" i="7" s="1"/>
  <c r="G7" i="7"/>
  <c r="J7" i="7" s="1"/>
  <c r="G8" i="7"/>
  <c r="G9" i="7"/>
  <c r="I9" i="7" s="1"/>
  <c r="G10" i="7"/>
  <c r="I10" i="7" s="1"/>
  <c r="G11" i="7"/>
  <c r="J11" i="7" s="1"/>
  <c r="G12" i="7"/>
  <c r="J12" i="7" s="1"/>
  <c r="G13" i="7"/>
  <c r="I13" i="7" s="1"/>
  <c r="G14" i="7"/>
  <c r="I14" i="7" s="1"/>
  <c r="G15" i="7"/>
  <c r="J15" i="7" s="1"/>
  <c r="G16" i="7"/>
  <c r="G17" i="7"/>
  <c r="I17" i="7" s="1"/>
  <c r="G18" i="7"/>
  <c r="I18" i="7" s="1"/>
  <c r="G19" i="7"/>
  <c r="J19" i="7" s="1"/>
  <c r="G20" i="7"/>
  <c r="J20" i="7" s="1"/>
  <c r="G21" i="7"/>
  <c r="I21" i="7" s="1"/>
  <c r="G22" i="7"/>
  <c r="I22" i="7" s="1"/>
  <c r="G23" i="7"/>
  <c r="J23" i="7" s="1"/>
  <c r="G24" i="7"/>
  <c r="G25" i="7"/>
  <c r="I25" i="7" s="1"/>
  <c r="G26" i="7"/>
  <c r="I26" i="7" s="1"/>
  <c r="G4" i="7"/>
  <c r="J4" i="7" s="1"/>
  <c r="I19" i="7" l="1"/>
  <c r="I11" i="7"/>
  <c r="J21" i="7"/>
  <c r="J13" i="7"/>
  <c r="J5" i="7"/>
  <c r="I23" i="7"/>
  <c r="I15" i="7"/>
  <c r="I7" i="7"/>
  <c r="I4" i="7"/>
  <c r="J26" i="7"/>
  <c r="J22" i="7"/>
  <c r="J18" i="7"/>
  <c r="J14" i="7"/>
  <c r="J10" i="7"/>
  <c r="J6" i="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Gleb</author>
  </authors>
  <commentList>
    <comment ref="A3" authorId="0" shapeId="0" xr:uid="{871A4CF9-F439-467B-BB93-0B628C24E5F8}">
      <text>
        <r>
          <rPr>
            <b/>
            <sz val="9"/>
            <color indexed="81"/>
            <rFont val="Tahoma"/>
            <charset val="1"/>
          </rPr>
          <t>Gleb:</t>
        </r>
        <r>
          <rPr>
            <sz val="9"/>
            <color indexed="81"/>
            <rFont val="Tahoma"/>
            <charset val="1"/>
          </rPr>
          <t xml:space="preserve">
Мальчик дает настоящие 10+10+5 = 25руб. Из них продавец возвращает сдачу 10+5 = 15руб. 
Он получил свои 10руб за шапку.
Соседка потребовала вернуть деньги, т.е. свои 25 руб., которые она разменяла. 
Продавец возвращает ей 25 руб. 10 руб, полученные от мальчика + 15 руб. из кассы.
Возможно, неконкретно эти 10руб. от мальчика, а другие, но суть остается такой же. 
Продавца обманули на 25руб.
Ответ: 25руб.</t>
        </r>
      </text>
    </comment>
    <comment ref="A15" authorId="0" shapeId="0" xr:uid="{A588A8EB-B4B3-421B-ADE5-FED6634BFFD2}">
      <text>
        <r>
          <rPr>
            <b/>
            <sz val="9"/>
            <color indexed="81"/>
            <rFont val="Tahoma"/>
            <charset val="1"/>
          </rPr>
          <t xml:space="preserve">Gleb:
</t>
        </r>
        <r>
          <rPr>
            <sz val="9"/>
            <color indexed="81"/>
            <rFont val="Tahoma"/>
            <charset val="1"/>
          </rPr>
          <t xml:space="preserve">
В начале в зале находились 13 человек. 
Каждый из них в какой-то момент уходит и перед уходом жмет руку всем, кто еще остался.
В итоге каждая пара людей пожимает друг другу руку ровно один раз. 
Неважно, кто из них уходит раньше.
Нужно просто посчитать, сколько всего разных пар можно составить из 13 человек.
Используем формулу сочетаний, где n = 13 , k = 2.
Получаем: 13! / ((13-2)! * 2!) = 13 * 12 / 2 = 78 рукопожатий
Ответ: 78 рукопожатий</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Gleb</author>
  </authors>
  <commentList>
    <comment ref="H2" authorId="0" shapeId="0" xr:uid="{D427357B-AC02-4E22-BB5B-8756C11BAA93}">
      <text>
        <r>
          <rPr>
            <b/>
            <sz val="9"/>
            <color indexed="81"/>
            <rFont val="Tahoma"/>
            <family val="2"/>
            <charset val="204"/>
          </rPr>
          <t>Gleb:</t>
        </r>
        <r>
          <rPr>
            <sz val="9"/>
            <color indexed="81"/>
            <rFont val="Tahoma"/>
            <family val="2"/>
            <charset val="204"/>
          </rPr>
          <t xml:space="preserve">
Назвал таблицу Forecast</t>
        </r>
      </text>
    </comment>
    <comment ref="E29" authorId="0" shapeId="0" xr:uid="{41654A39-C2BF-4DBD-80A4-A673650B4225}">
      <text>
        <r>
          <rPr>
            <b/>
            <sz val="9"/>
            <color indexed="81"/>
            <rFont val="Tahoma"/>
            <charset val="1"/>
          </rPr>
          <t>Gleb:</t>
        </r>
        <r>
          <rPr>
            <sz val="9"/>
            <color indexed="81"/>
            <rFont val="Tahoma"/>
            <charset val="1"/>
          </rPr>
          <t xml:space="preserve">
SELECT Itemid,
1.0 * SUM(Amount) / SUM(Qty) as avg_price
FROM Lines as l
JOIN Journals as j on j.JournalID = l.JournalID
WHERE Shop = 943
GROUP BY Itemid;
</t>
        </r>
      </text>
    </comment>
    <comment ref="E30" authorId="0" shapeId="0" xr:uid="{84134248-099B-4B5E-95B4-73B45BADD6C0}">
      <text>
        <r>
          <rPr>
            <b/>
            <sz val="9"/>
            <color indexed="81"/>
            <rFont val="Tahoma"/>
            <charset val="1"/>
          </rPr>
          <t>Gleb:</t>
        </r>
        <r>
          <rPr>
            <sz val="9"/>
            <color indexed="81"/>
            <rFont val="Tahoma"/>
            <charset val="1"/>
          </rPr>
          <t xml:space="preserve">
SELECT Itemid, 
SUM(Qty)
FROM Lines as l
JOIN Journals as j on j.JournalID = l.JournalID
WHERE Date = '2011-01-01'
GROUP BY Itemid;</t>
        </r>
      </text>
    </comment>
    <comment ref="E31" authorId="0" shapeId="0" xr:uid="{323223AC-FAE0-4679-8455-80DF74D6AA55}">
      <text>
        <r>
          <rPr>
            <b/>
            <sz val="9"/>
            <color indexed="81"/>
            <rFont val="Tahoma"/>
            <family val="2"/>
            <charset val="204"/>
          </rPr>
          <t>Gleb:</t>
        </r>
        <r>
          <rPr>
            <sz val="9"/>
            <color indexed="81"/>
            <rFont val="Tahoma"/>
            <family val="2"/>
            <charset val="204"/>
          </rPr>
          <t xml:space="preserve">
SELECT itemname,
l.Itemid as Itemid,
SUM(Amount) as total_sum,
DENSE_RANK() OVER(order by SUM(Amount) desc) as rnk
FROM Lines as l 
JOIN Goods as g on g.Itemid = l.Itemid
GROUP BY itemname, l.Itemid
</t>
        </r>
      </text>
    </comment>
    <comment ref="F32" authorId="0" shapeId="0" xr:uid="{30EF117E-470A-411F-B60C-A24626329B27}">
      <text>
        <r>
          <rPr>
            <b/>
            <sz val="9"/>
            <color indexed="81"/>
            <rFont val="Tahoma"/>
            <family val="2"/>
            <charset val="204"/>
          </rPr>
          <t>Gleb:</t>
        </r>
        <r>
          <rPr>
            <sz val="9"/>
            <color indexed="81"/>
            <rFont val="Tahoma"/>
            <family val="2"/>
            <charset val="204"/>
          </rPr>
          <t xml:space="preserve">
SELECT l.Itemid as Itemid, 
itemname, 
MAX(fcst) as prognoz, 
SUM(Qty) as fact
FROM Lines as l 
JOIN Journals as j on j.JournalID = l.JournalID
JOIN Goods as g on g.Itemid = l.Itemid
LEFT JOIN Forecast as f on f.Itemid  = l.Itemid AND f.Shop = j.Shop AND f.Date = j.Date
WHERE j.Shop = 1543 AND j.Date = '2011-01-02'
GROUP BY l.Itemid, itemname;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Gleb</author>
  </authors>
  <commentList>
    <comment ref="D5" authorId="0" shapeId="0" xr:uid="{5D3652D2-C7AD-4E98-A807-B2BB720541D6}">
      <text>
        <r>
          <rPr>
            <b/>
            <sz val="9"/>
            <color indexed="81"/>
            <rFont val="Tahoma"/>
            <charset val="1"/>
          </rPr>
          <t>Gleb:</t>
        </r>
        <r>
          <rPr>
            <sz val="9"/>
            <color indexed="81"/>
            <rFont val="Tahoma"/>
            <charset val="1"/>
          </rPr>
          <t xml:space="preserve">
Ошибка, потому что в ORDER BY используется код_книги, которого нет ни в SELECT, ни в GROUP BY, и он не агрегирован</t>
        </r>
      </text>
    </comment>
    <comment ref="F11" authorId="0" shapeId="0" xr:uid="{6C9DE462-4194-43A3-B70D-E917B55CD558}">
      <text>
        <r>
          <rPr>
            <b/>
            <sz val="9"/>
            <color indexed="81"/>
            <rFont val="Tahoma"/>
            <charset val="1"/>
          </rPr>
          <t>Gleb:</t>
        </r>
        <r>
          <rPr>
            <sz val="9"/>
            <color indexed="81"/>
            <rFont val="Tahoma"/>
            <charset val="1"/>
          </rPr>
          <t xml:space="preserve">
Desc - По убыванию</t>
        </r>
      </text>
    </comment>
    <comment ref="C25" authorId="0" shapeId="0" xr:uid="{804C51AE-01EA-4E25-8CA5-891370C12B84}">
      <text>
        <r>
          <rPr>
            <b/>
            <sz val="9"/>
            <color indexed="81"/>
            <rFont val="Tahoma"/>
            <charset val="1"/>
          </rPr>
          <t>Gleb:</t>
        </r>
        <r>
          <rPr>
            <sz val="9"/>
            <color indexed="81"/>
            <rFont val="Tahoma"/>
            <charset val="1"/>
          </rPr>
          <t xml:space="preserve">
Уникальные отделы</t>
        </r>
      </text>
    </comment>
    <comment ref="H67" authorId="0" shapeId="0" xr:uid="{3AD1CE3A-3D64-4295-9C90-B85BC7D35FF2}">
      <text>
        <r>
          <rPr>
            <b/>
            <sz val="9"/>
            <color indexed="81"/>
            <rFont val="Tahoma"/>
            <charset val="1"/>
          </rPr>
          <t>Gleb:</t>
        </r>
        <r>
          <rPr>
            <sz val="9"/>
            <color indexed="81"/>
            <rFont val="Tahoma"/>
            <charset val="1"/>
          </rPr>
          <t xml:space="preserve">
IS / IS NOT NULL</t>
        </r>
      </text>
    </comment>
    <comment ref="A79" authorId="0" shapeId="0" xr:uid="{05C56994-C205-43D5-97FE-4E6A44377FE6}">
      <text>
        <r>
          <rPr>
            <b/>
            <sz val="9"/>
            <color indexed="81"/>
            <rFont val="Tahoma"/>
            <charset val="1"/>
          </rPr>
          <t>Gleb:</t>
        </r>
        <r>
          <rPr>
            <sz val="9"/>
            <color indexed="81"/>
            <rFont val="Tahoma"/>
            <charset val="1"/>
          </rPr>
          <t xml:space="preserve">
Если вместо big будет MAX:
SELECT *
FROM Orders
WHERE price = (SELECT MAX(price) FROM Orders)
А пока нет верного ответа</t>
        </r>
      </text>
    </comment>
  </commentList>
</comments>
</file>

<file path=xl/sharedStrings.xml><?xml version="1.0" encoding="utf-8"?>
<sst xmlns="http://schemas.openxmlformats.org/spreadsheetml/2006/main" count="180" uniqueCount="142">
  <si>
    <t>Journals (Журналы продаж)</t>
  </si>
  <si>
    <t>JournalID</t>
  </si>
  <si>
    <t>Date</t>
  </si>
  <si>
    <t>Shop (магазин)</t>
  </si>
  <si>
    <t>TotalQty (кол-во)</t>
  </si>
  <si>
    <t>TotalAmount (сумма)</t>
  </si>
  <si>
    <t>Lines (Строки журнала продаж)</t>
  </si>
  <si>
    <t>Itemid (товар)</t>
  </si>
  <si>
    <t>Qty (кол-во)</t>
  </si>
  <si>
    <t>Amount (сумма)</t>
  </si>
  <si>
    <t>Goods (Справочник номенклатур)</t>
  </si>
  <si>
    <t>itemname</t>
  </si>
  <si>
    <t>Рис</t>
  </si>
  <si>
    <t>Пшено</t>
  </si>
  <si>
    <t>Соль</t>
  </si>
  <si>
    <t>Сода</t>
  </si>
  <si>
    <t>Масло</t>
  </si>
  <si>
    <t>Необходимо написать SQL-запросы для расчета показателей:</t>
  </si>
  <si>
    <t>Название</t>
  </si>
  <si>
    <t>Бренд</t>
  </si>
  <si>
    <t>Продажи, шт</t>
  </si>
  <si>
    <t>Остаток на начало периода, шт</t>
  </si>
  <si>
    <t>НАПИТОК АРИАНТ 1,5Л БУРАТИНО ГАЗ. ПЭТ</t>
  </si>
  <si>
    <t>АРИАНТ</t>
  </si>
  <si>
    <t>НАПИТОК МОЛНИЯ 2Л ЛИМОНАД ГАЗ. ПЭТ</t>
  </si>
  <si>
    <t>МОЛНИЯ</t>
  </si>
  <si>
    <t>НАПИТОК АРИАНТ 1,5Л ЛИМОНАД ГАЗ. ПЭТ</t>
  </si>
  <si>
    <t>НАПИТОК SPRITE 2Л ГАЗ. ПЭТ</t>
  </si>
  <si>
    <t>SPRITE</t>
  </si>
  <si>
    <t>НАПИТОК SPRITE 1Л ГАЗ. ПЭТ</t>
  </si>
  <si>
    <t>НАПИТОК АРИАНТ 1,5Л ВЕСЕЛЫЙ КОЛОКОЛЬЧИК ГАЗ. ПЭТ</t>
  </si>
  <si>
    <t>НАПИТОК АРИАНТ 1,5Л ЛИМОН-ЛАЙМ ГАЗ. ПЭТ</t>
  </si>
  <si>
    <t>НАПИТОК SPRITE 0,33Л ГАЗ. Ж/Б</t>
  </si>
  <si>
    <t>НАПИТОК SPRITE 0,5Л ГАЗ. ПЭТ</t>
  </si>
  <si>
    <t>НАПИТОК 7UP 0,6Л ГАЗ. ПЭТ</t>
  </si>
  <si>
    <t>7UP</t>
  </si>
  <si>
    <t>НАПИТОК 7UP 1,25Л ГАЗ. ПЭТ</t>
  </si>
  <si>
    <t>НАПИТОК МОЛНИЯ 2Л КОЛОКОЛЬЧИК ГАЗ. ПЭТ</t>
  </si>
  <si>
    <t>НАПИТОК ДОБРЫЙ 1Л ЛИМОНАД ГАЗ. ПЭТ</t>
  </si>
  <si>
    <t>ДОБРЫЙ</t>
  </si>
  <si>
    <t>НАПИТОК НИАГАРА 1,5Л КОЛОКОЛЬЧИК ГАЗ. ПЭТ</t>
  </si>
  <si>
    <t>НИАГАРА</t>
  </si>
  <si>
    <t>НАПИТОК ДОБРЫЙ 1Л БУРАТИНО ГАЗ. ПЭТ</t>
  </si>
  <si>
    <t>НАПИТОК 7UP 2Л ГАЗ. ПЭТ</t>
  </si>
  <si>
    <t>НАПИТОК НИАГАРА 1,5Л БУРАТИНО ГАЗ. ПЭТ</t>
  </si>
  <si>
    <t>НАПИТОК НИАГАРА 1,5Л ЛИМОНАД  ГАЗ. ПЭТ</t>
  </si>
  <si>
    <t>ВОДА ГАЗ. EVERVESS 2Л ТОНИК ЛИМОННЫЙ ПЭТ</t>
  </si>
  <si>
    <t>EVERVESS</t>
  </si>
  <si>
    <t>НАПИТОК НИАГАРА 0,5Л ЛИМОНАД ГАЗ. ПЭТ</t>
  </si>
  <si>
    <t>НАПИТОК ЛЮБИМЫЙ ВКУС 0,5Л ЛЮБИМЫЙ ЛИМОНАД ГАЗ. СТ/Б</t>
  </si>
  <si>
    <t>ЛЮБИМЫЙ ВКУС</t>
  </si>
  <si>
    <t>НАПИТОК MOUNTAIN DEW 2Л ГАЗ. ПЭТ</t>
  </si>
  <si>
    <t>MOUNTAIN</t>
  </si>
  <si>
    <t>НАПИТОК ШИППИ 0,5Л ЛИМОНАД ГАЗ. СТ/Б</t>
  </si>
  <si>
    <t>ШИППИ</t>
  </si>
  <si>
    <r>
      <rPr>
        <sz val="7"/>
        <color theme="1"/>
        <rFont val="Times New Roman"/>
        <family val="1"/>
        <charset val="204"/>
      </rPr>
      <t xml:space="preserve">      </t>
    </r>
    <r>
      <rPr>
        <sz val="11"/>
        <color theme="1"/>
        <rFont val="Arial Narrow"/>
        <family val="2"/>
        <charset val="204"/>
      </rPr>
      <t>Даны 3 таблицы:</t>
    </r>
  </si>
  <si>
    <t>select код_автора, sum(Выплата) as всего from Оплата_авторам</t>
  </si>
  <si>
    <t>order by код_книги</t>
  </si>
  <si>
    <r>
      <t>£</t>
    </r>
    <r>
      <rPr>
        <sz val="12"/>
        <color theme="1"/>
        <rFont val="Calibri"/>
        <family val="2"/>
        <charset val="204"/>
        <scheme val="minor"/>
      </rPr>
      <t xml:space="preserve">  </t>
    </r>
    <r>
      <rPr>
        <sz val="11"/>
        <color theme="1"/>
        <rFont val="Calibri"/>
        <family val="2"/>
        <charset val="204"/>
        <scheme val="minor"/>
      </rPr>
      <t>Команда завершится неудачей.</t>
    </r>
  </si>
  <si>
    <r>
      <t>£</t>
    </r>
    <r>
      <rPr>
        <sz val="12"/>
        <color theme="1"/>
        <rFont val="Calibri"/>
        <family val="2"/>
        <charset val="204"/>
        <scheme val="minor"/>
      </rPr>
      <t xml:space="preserve">  </t>
    </r>
    <r>
      <rPr>
        <sz val="11"/>
        <color theme="1"/>
        <rFont val="Calibri"/>
        <family val="2"/>
        <charset val="204"/>
        <scheme val="minor"/>
      </rPr>
      <t>Для каждого изменения код_книги создается запись, в которой показано среднее значение выплат для всех авторов, работавших над книгой с данным названием .</t>
    </r>
  </si>
  <si>
    <r>
      <t>£</t>
    </r>
    <r>
      <rPr>
        <sz val="12"/>
        <color theme="1"/>
        <rFont val="Calibri"/>
        <family val="2"/>
        <charset val="204"/>
        <scheme val="minor"/>
      </rPr>
      <t xml:space="preserve">  </t>
    </r>
    <r>
      <rPr>
        <sz val="11"/>
        <color theme="1"/>
        <rFont val="Calibri"/>
        <family val="2"/>
        <charset val="204"/>
        <scheme val="minor"/>
      </rPr>
      <t>Для каждого изменения код_автора создается запись, в которой показано сумма выплат для каждого автора</t>
    </r>
  </si>
  <si>
    <t>1) Что произойдет при выполнении следующей команды SQL?</t>
  </si>
  <si>
    <t>выводит</t>
  </si>
  <si>
    <r>
      <t>£</t>
    </r>
    <r>
      <rPr>
        <sz val="12"/>
        <color theme="1"/>
        <rFont val="Calibri"/>
        <family val="2"/>
        <charset val="204"/>
        <scheme val="minor"/>
      </rPr>
      <t xml:space="preserve">  </t>
    </r>
    <r>
      <rPr>
        <sz val="11"/>
        <color theme="1"/>
        <rFont val="Calibri"/>
        <family val="2"/>
        <charset val="204"/>
        <scheme val="minor"/>
      </rPr>
      <t>все поля содержащие фамилии</t>
    </r>
  </si>
  <si>
    <r>
      <t>£</t>
    </r>
    <r>
      <rPr>
        <sz val="12"/>
        <color theme="1"/>
        <rFont val="Calibri"/>
        <family val="2"/>
        <charset val="204"/>
        <scheme val="minor"/>
      </rPr>
      <t xml:space="preserve">  </t>
    </r>
    <r>
      <rPr>
        <sz val="11"/>
        <color theme="1"/>
        <rFont val="Calibri"/>
        <family val="2"/>
        <charset val="204"/>
        <scheme val="minor"/>
      </rPr>
      <t>для всех записей только поле фамилия</t>
    </r>
  </si>
  <si>
    <r>
      <t>£</t>
    </r>
    <r>
      <rPr>
        <sz val="12"/>
        <color theme="1"/>
        <rFont val="Calibri"/>
        <family val="2"/>
        <charset val="204"/>
        <scheme val="minor"/>
      </rPr>
      <t xml:space="preserve">  </t>
    </r>
    <r>
      <rPr>
        <sz val="11"/>
        <color theme="1"/>
        <rFont val="Calibri"/>
        <family val="2"/>
        <charset val="204"/>
        <scheme val="minor"/>
      </rPr>
      <t>поле фамилия выводится первым</t>
    </r>
  </si>
  <si>
    <r>
      <t>£</t>
    </r>
    <r>
      <rPr>
        <sz val="12"/>
        <color theme="1"/>
        <rFont val="Calibri"/>
        <family val="2"/>
        <charset val="204"/>
        <scheme val="minor"/>
      </rPr>
      <t xml:space="preserve">  </t>
    </r>
    <r>
      <rPr>
        <sz val="11"/>
        <color theme="1"/>
        <rFont val="Calibri"/>
        <family val="2"/>
        <charset val="204"/>
        <scheme val="minor"/>
      </rPr>
      <t>все поля всех записей таблицы Сотрудники отсортированные  в порядке убывания</t>
    </r>
  </si>
  <si>
    <r>
      <t>£</t>
    </r>
    <r>
      <rPr>
        <sz val="12"/>
        <color theme="1"/>
        <rFont val="Calibri"/>
        <family val="2"/>
        <charset val="204"/>
        <scheme val="minor"/>
      </rPr>
      <t xml:space="preserve">  </t>
    </r>
    <r>
      <rPr>
        <sz val="11"/>
        <color theme="1"/>
        <rFont val="Calibri"/>
        <family val="2"/>
        <charset val="204"/>
        <scheme val="minor"/>
      </rPr>
      <t>все поля всех записей таблицы Сотрудники отсортированные  в порядке убывания отдела</t>
    </r>
  </si>
  <si>
    <r>
      <t>£</t>
    </r>
    <r>
      <rPr>
        <sz val="12"/>
        <color theme="1"/>
        <rFont val="Calibri"/>
        <family val="2"/>
        <charset val="204"/>
        <scheme val="minor"/>
      </rPr>
      <t xml:space="preserve">  </t>
    </r>
    <r>
      <rPr>
        <sz val="11"/>
        <color theme="1"/>
        <rFont val="Calibri"/>
        <family val="2"/>
        <charset val="204"/>
        <scheme val="minor"/>
      </rPr>
      <t>все поля содержащие отделы</t>
    </r>
  </si>
  <si>
    <r>
      <t>£</t>
    </r>
    <r>
      <rPr>
        <sz val="12"/>
        <color theme="1"/>
        <rFont val="Calibri"/>
        <family val="2"/>
        <charset val="204"/>
        <scheme val="minor"/>
      </rPr>
      <t xml:space="preserve">  </t>
    </r>
    <r>
      <rPr>
        <sz val="11"/>
        <color theme="1"/>
        <rFont val="Calibri"/>
        <family val="2"/>
        <charset val="204"/>
        <scheme val="minor"/>
      </rPr>
      <t>для всех записей только поле отдел</t>
    </r>
  </si>
  <si>
    <r>
      <t>£</t>
    </r>
    <r>
      <rPr>
        <sz val="12"/>
        <color theme="1"/>
        <rFont val="Calibri"/>
        <family val="2"/>
        <charset val="204"/>
        <scheme val="minor"/>
      </rPr>
      <t xml:space="preserve">  </t>
    </r>
    <r>
      <rPr>
        <sz val="11"/>
        <color theme="1"/>
        <rFont val="Calibri"/>
        <family val="2"/>
        <charset val="204"/>
        <scheme val="minor"/>
      </rPr>
      <t>список отделов</t>
    </r>
  </si>
  <si>
    <r>
      <t>£</t>
    </r>
    <r>
      <rPr>
        <sz val="12"/>
        <color theme="1"/>
        <rFont val="Calibri"/>
        <family val="2"/>
        <charset val="204"/>
        <scheme val="minor"/>
      </rPr>
      <t xml:space="preserve">  </t>
    </r>
    <r>
      <rPr>
        <sz val="11"/>
        <color theme="1"/>
        <rFont val="Calibri"/>
        <family val="2"/>
        <charset val="204"/>
        <scheme val="minor"/>
      </rPr>
      <t>все поля всех записей из таблицы Сотрудники</t>
    </r>
  </si>
  <si>
    <r>
      <t>£</t>
    </r>
    <r>
      <rPr>
        <sz val="12"/>
        <color theme="1"/>
        <rFont val="Calibri"/>
        <family val="2"/>
        <charset val="204"/>
        <scheme val="minor"/>
      </rPr>
      <t xml:space="preserve">  </t>
    </r>
    <r>
      <rPr>
        <sz val="11"/>
        <color theme="1"/>
        <rFont val="Calibri"/>
        <family val="2"/>
        <charset val="204"/>
        <scheme val="minor"/>
      </rPr>
      <t>список отделов и  сумму зарплат сотрудников  равную 1,2</t>
    </r>
  </si>
  <si>
    <r>
      <t>£</t>
    </r>
    <r>
      <rPr>
        <sz val="12"/>
        <color theme="1"/>
        <rFont val="Calibri"/>
        <family val="2"/>
        <charset val="204"/>
        <scheme val="minor"/>
      </rPr>
      <t xml:space="preserve">  </t>
    </r>
    <r>
      <rPr>
        <sz val="11"/>
        <color theme="1"/>
        <rFont val="Calibri"/>
        <family val="2"/>
        <charset val="204"/>
        <scheme val="minor"/>
      </rPr>
      <t>все записи содержащие сотрудников, у которых есть зарплата.</t>
    </r>
  </si>
  <si>
    <r>
      <t>£</t>
    </r>
    <r>
      <rPr>
        <sz val="12"/>
        <color theme="1"/>
        <rFont val="Calibri"/>
        <family val="2"/>
        <charset val="204"/>
        <scheme val="minor"/>
      </rPr>
      <t xml:space="preserve">  </t>
    </r>
    <r>
      <rPr>
        <sz val="11"/>
        <color theme="1"/>
        <rFont val="Calibri"/>
        <family val="2"/>
        <charset val="204"/>
        <scheme val="minor"/>
      </rPr>
      <t>ничего не выводит и увеличивает зарплату сотрудникам отдела Проектирование на 20%</t>
    </r>
  </si>
  <si>
    <r>
      <t>£</t>
    </r>
    <r>
      <rPr>
        <sz val="12"/>
        <color theme="1"/>
        <rFont val="Calibri"/>
        <family val="2"/>
        <charset val="204"/>
        <scheme val="minor"/>
      </rPr>
      <t xml:space="preserve">  </t>
    </r>
    <r>
      <rPr>
        <sz val="11"/>
        <color theme="1"/>
        <rFont val="Calibri"/>
        <family val="2"/>
        <charset val="204"/>
        <scheme val="minor"/>
      </rPr>
      <t>все записи содержащие сотрудников, у которых есть поле оклад.</t>
    </r>
  </si>
  <si>
    <r>
      <t>£</t>
    </r>
    <r>
      <rPr>
        <sz val="12"/>
        <color theme="1"/>
        <rFont val="Calibri"/>
        <family val="2"/>
        <charset val="204"/>
        <scheme val="minor"/>
      </rPr>
      <t xml:space="preserve">  </t>
    </r>
    <r>
      <rPr>
        <sz val="11"/>
        <color theme="1"/>
        <rFont val="Calibri"/>
        <family val="2"/>
        <charset val="204"/>
        <scheme val="minor"/>
      </rPr>
      <t>все записи, содержащие всех сотрудников из отдела проектирования</t>
    </r>
  </si>
  <si>
    <r>
      <t>£</t>
    </r>
    <r>
      <rPr>
        <sz val="12"/>
        <color theme="1"/>
        <rFont val="Calibri"/>
        <family val="2"/>
        <charset val="204"/>
        <scheme val="minor"/>
      </rPr>
      <t xml:space="preserve">  </t>
    </r>
    <r>
      <rPr>
        <sz val="11"/>
        <color theme="1"/>
        <rFont val="Calibri"/>
        <family val="2"/>
        <charset val="204"/>
        <scheme val="minor"/>
      </rPr>
      <t>ничего не выводит, а добавляет в таблицу ВтораяТаблица поле с именем ДатаРождения</t>
    </r>
  </si>
  <si>
    <t>WHERE (((Начальники.Фамилия)="Ткаченко")); выводит</t>
  </si>
  <si>
    <r>
      <t>£</t>
    </r>
    <r>
      <rPr>
        <sz val="12"/>
        <color theme="1"/>
        <rFont val="Calibri"/>
        <family val="2"/>
        <charset val="204"/>
        <scheme val="minor"/>
      </rPr>
      <t xml:space="preserve">  </t>
    </r>
    <r>
      <rPr>
        <sz val="11"/>
        <color theme="1"/>
        <rFont val="Calibri"/>
        <family val="2"/>
        <charset val="204"/>
        <scheme val="minor"/>
      </rPr>
      <t>список отделов и  сумму зарплат сотрудников  равную Ткаченко</t>
    </r>
  </si>
  <si>
    <r>
      <t>£</t>
    </r>
    <r>
      <rPr>
        <sz val="12"/>
        <color theme="1"/>
        <rFont val="Calibri"/>
        <family val="2"/>
        <charset val="204"/>
        <scheme val="minor"/>
      </rPr>
      <t xml:space="preserve"> </t>
    </r>
    <r>
      <rPr>
        <sz val="11"/>
        <color theme="1"/>
        <rFont val="Calibri"/>
        <family val="2"/>
        <charset val="204"/>
        <scheme val="minor"/>
      </rPr>
      <t>ничего не выводит и устанавливает  премию  сотрудникам отдела, где начальник Ткаченко =30</t>
    </r>
  </si>
  <si>
    <r>
      <t>£</t>
    </r>
    <r>
      <rPr>
        <sz val="12"/>
        <color theme="1"/>
        <rFont val="Calibri"/>
        <family val="2"/>
        <charset val="204"/>
        <scheme val="minor"/>
      </rPr>
      <t xml:space="preserve">  </t>
    </r>
    <r>
      <rPr>
        <sz val="11"/>
        <color theme="1"/>
        <rFont val="Calibri"/>
        <family val="2"/>
        <charset val="204"/>
        <scheme val="minor"/>
      </rPr>
      <t>ничего не выводит, а удаляет из таблицы ВтораяТаблица поле с именем ДатаРождения</t>
    </r>
  </si>
  <si>
    <r>
      <t>£</t>
    </r>
    <r>
      <rPr>
        <sz val="12"/>
        <color theme="1"/>
        <rFont val="Calibri"/>
        <family val="2"/>
        <charset val="204"/>
        <scheme val="minor"/>
      </rPr>
      <t xml:space="preserve">  </t>
    </r>
    <r>
      <rPr>
        <sz val="11"/>
        <color theme="1"/>
        <rFont val="Calibri"/>
        <family val="2"/>
        <charset val="204"/>
        <scheme val="minor"/>
      </rPr>
      <t>Для каждого сочетания код_автора и код_книги  создается запись.</t>
    </r>
  </si>
  <si>
    <t>2) Оператор SQL SELECT * FROM Сотрудники ORDER BY фамилия DSC;</t>
  </si>
  <si>
    <t>3) Оператор SQL SELECT DISTINCT Отдел FROM Сотрудники;</t>
  </si>
  <si>
    <t>4) Оператор SQL UPDATE Сотрудники SET Сотрудники.Зарплата = Зарплата*1.2 WHERE [Сотрудники.Отдел]='Проектирование'; выводит</t>
  </si>
  <si>
    <r>
      <t>£</t>
    </r>
    <r>
      <rPr>
        <sz val="12"/>
        <color theme="1"/>
        <rFont val="Calibri"/>
        <family val="2"/>
        <charset val="204"/>
        <scheme val="minor"/>
      </rPr>
      <t xml:space="preserve">  </t>
    </r>
    <r>
      <rPr>
        <sz val="11"/>
        <color theme="1"/>
        <rFont val="Calibri"/>
        <family val="2"/>
        <charset val="204"/>
        <scheme val="minor"/>
      </rPr>
      <t>все поля всех записей таблицы Сотрудники отсортированные, по отделу</t>
    </r>
  </si>
  <si>
    <r>
      <t>£</t>
    </r>
    <r>
      <rPr>
        <sz val="12"/>
        <color theme="1"/>
        <rFont val="Calibri"/>
        <family val="2"/>
        <charset val="204"/>
        <scheme val="minor"/>
      </rPr>
      <t xml:space="preserve">  </t>
    </r>
    <r>
      <rPr>
        <sz val="11"/>
        <color theme="1"/>
        <rFont val="Calibri"/>
        <family val="2"/>
        <charset val="204"/>
        <scheme val="minor"/>
      </rPr>
      <t>все записи содержащие сотрудников, у которых есть начальник и его фамилию.</t>
    </r>
  </si>
  <si>
    <r>
      <t>£</t>
    </r>
    <r>
      <rPr>
        <sz val="12"/>
        <color theme="1"/>
        <rFont val="Calibri"/>
        <family val="2"/>
        <charset val="204"/>
        <scheme val="minor"/>
      </rPr>
      <t xml:space="preserve">  </t>
    </r>
    <r>
      <rPr>
        <sz val="11"/>
        <color theme="1"/>
        <rFont val="Calibri"/>
        <family val="2"/>
        <charset val="204"/>
        <scheme val="minor"/>
      </rPr>
      <t>список отделов и  сумму зарплат сотрудников  равную зарплате начальника</t>
    </r>
  </si>
  <si>
    <r>
      <t>£</t>
    </r>
    <r>
      <rPr>
        <sz val="12"/>
        <color theme="1"/>
        <rFont val="Calibri"/>
        <family val="2"/>
        <charset val="204"/>
        <scheme val="minor"/>
      </rPr>
      <t xml:space="preserve">  </t>
    </r>
    <r>
      <rPr>
        <sz val="11"/>
        <color theme="1"/>
        <rFont val="Calibri"/>
        <family val="2"/>
        <charset val="204"/>
        <scheme val="minor"/>
      </rPr>
      <t>все записи, содержащие всех начальников и, если есть сотрудники их фамилии</t>
    </r>
  </si>
  <si>
    <t>5)Оператор SQL ALTER TABLE ВтораяТаблица  DROP COLUMN ДатаРождения выводит</t>
  </si>
  <si>
    <t>6)Оператор SQL UPDATE Сотрудники INNER JOIN Начальники ON Сотрудники.номер_отдела = Начальники.Код SET Сотрудники.премия = 30</t>
  </si>
  <si>
    <t>7) Оператор SQL SELECT Начальники.Фамилия, Начальники.Отдел, Сотрудники.Фамилия, Сотрудники.Отдел</t>
  </si>
  <si>
    <r>
      <t>£</t>
    </r>
    <r>
      <rPr>
        <sz val="12"/>
        <color theme="1"/>
        <rFont val="Calibri"/>
        <family val="2"/>
        <charset val="204"/>
        <scheme val="minor"/>
      </rPr>
      <t xml:space="preserve">  </t>
    </r>
    <r>
      <rPr>
        <sz val="11"/>
        <color theme="1"/>
        <rFont val="Calibri"/>
        <family val="2"/>
        <charset val="204"/>
        <scheme val="minor"/>
      </rPr>
      <t>все записи, содержащие всех сотрудников и, если есть начальник его фамилию</t>
    </r>
  </si>
  <si>
    <t>FROM Начальники RIGHT JOIN Сотрудники ON Начальники.Отдел = Сотрудники.Отдел;</t>
  </si>
  <si>
    <t>group by код_автора</t>
  </si>
  <si>
    <t>Задание 3.1Представить основные показатели по уровню Лимонад в виде следующего отчета (отобразить итоги по Бренду с использованием Сводной таблицы):</t>
  </si>
  <si>
    <t>8) Что не так с этим запросом
select id, date from Orders where seller_id = NULL;</t>
  </si>
  <si>
    <r>
      <t>£</t>
    </r>
    <r>
      <rPr>
        <sz val="12"/>
        <color theme="1"/>
        <rFont val="Calibri"/>
        <family val="2"/>
        <charset val="204"/>
        <scheme val="minor"/>
      </rPr>
      <t xml:space="preserve">  в</t>
    </r>
    <r>
      <rPr>
        <sz val="11"/>
        <color theme="1"/>
        <rFont val="Calibri"/>
        <family val="2"/>
        <charset val="204"/>
        <scheme val="minor"/>
      </rPr>
      <t>се верно, запрос покажет все заказы, продавцы которых не проставлены</t>
    </r>
  </si>
  <si>
    <r>
      <t>£</t>
    </r>
    <r>
      <rPr>
        <sz val="12"/>
        <color theme="1"/>
        <rFont val="Calibri"/>
        <family val="2"/>
        <charset val="204"/>
        <scheme val="minor"/>
      </rPr>
      <t xml:space="preserve">  </t>
    </r>
    <r>
      <rPr>
        <sz val="11"/>
        <color theme="1"/>
        <rFont val="Calibri"/>
        <family val="2"/>
        <charset val="204"/>
        <scheme val="minor"/>
      </rPr>
      <t>NULL нужно взять в кавычки</t>
    </r>
  </si>
  <si>
    <r>
      <t>£</t>
    </r>
    <r>
      <rPr>
        <sz val="12"/>
        <color theme="1"/>
        <rFont val="Calibri"/>
        <family val="2"/>
        <charset val="204"/>
        <scheme val="minor"/>
      </rPr>
      <t xml:space="preserve">  </t>
    </r>
    <r>
      <rPr>
        <sz val="11"/>
        <color theme="1"/>
        <rFont val="Calibri"/>
        <family val="2"/>
        <charset val="204"/>
        <scheme val="minor"/>
      </rPr>
      <t>Сравнение с NULL можно проводить только с оператором ON</t>
    </r>
  </si>
  <si>
    <t>9) Выберите корректный пример использования функции CONCAT</t>
  </si>
  <si>
    <r>
      <t>£</t>
    </r>
    <r>
      <rPr>
        <sz val="12"/>
        <color theme="1"/>
        <rFont val="Calibri"/>
        <family val="2"/>
        <charset val="204"/>
        <scheme val="minor"/>
      </rPr>
      <t xml:space="preserve">  select concat = index and city from Orders;</t>
    </r>
  </si>
  <si>
    <r>
      <t>£</t>
    </r>
    <r>
      <rPr>
        <sz val="12"/>
        <color theme="1"/>
        <rFont val="Calibri"/>
        <family val="2"/>
        <charset val="204"/>
        <scheme val="minor"/>
      </rPr>
      <t xml:space="preserve">  </t>
    </r>
    <r>
      <rPr>
        <sz val="11"/>
        <color theme="1"/>
        <rFont val="Calibri"/>
        <family val="2"/>
        <charset val="204"/>
        <scheme val="minor"/>
      </rPr>
      <t>select concat IN (`index`, `city`) from Orders;</t>
    </r>
  </si>
  <si>
    <r>
      <t>£</t>
    </r>
    <r>
      <rPr>
        <sz val="12"/>
        <color theme="1"/>
        <rFont val="Calibri"/>
        <family val="2"/>
        <charset val="204"/>
        <scheme val="minor"/>
      </rPr>
      <t xml:space="preserve">  </t>
    </r>
    <r>
      <rPr>
        <sz val="11"/>
        <color theme="1"/>
        <rFont val="Calibri"/>
        <family val="2"/>
        <charset val="204"/>
        <scheme val="minor"/>
      </rPr>
      <t>нет правильного примера</t>
    </r>
  </si>
  <si>
    <t>10) Выберите пример корректно написанного запроса с использованием подзапроса, который выводит информацию о заказе с самой дорогой стоимостью:</t>
  </si>
  <si>
    <r>
      <t>£</t>
    </r>
    <r>
      <rPr>
        <sz val="12"/>
        <color theme="1"/>
        <rFont val="Calibri"/>
        <family val="2"/>
        <charset val="204"/>
        <scheme val="minor"/>
      </rPr>
      <t xml:space="preserve">  select * from Orders where price = (select big(price) from Orders)</t>
    </r>
  </si>
  <si>
    <r>
      <t>£</t>
    </r>
    <r>
      <rPr>
        <sz val="12"/>
        <color theme="1"/>
        <rFont val="Calibri"/>
        <family val="2"/>
        <charset val="204"/>
        <scheme val="minor"/>
      </rPr>
      <t xml:space="preserve">  </t>
    </r>
    <r>
      <rPr>
        <sz val="11"/>
        <color theme="1"/>
        <rFont val="Calibri"/>
        <family val="2"/>
        <charset val="204"/>
        <scheme val="minor"/>
      </rPr>
      <t>select * from Orders where price = max</t>
    </r>
  </si>
  <si>
    <r>
      <t>£</t>
    </r>
    <r>
      <rPr>
        <sz val="12"/>
        <color theme="1"/>
        <rFont val="Calibri"/>
        <family val="2"/>
        <charset val="204"/>
        <scheme val="minor"/>
      </rPr>
      <t xml:space="preserve">  </t>
    </r>
    <r>
      <rPr>
        <sz val="11"/>
        <color theme="1"/>
        <rFont val="Calibri"/>
        <family val="2"/>
        <charset val="204"/>
        <scheme val="minor"/>
      </rPr>
      <t>select count(*) from Orders</t>
    </r>
  </si>
  <si>
    <r>
      <t>£</t>
    </r>
    <r>
      <rPr>
        <sz val="12"/>
        <color theme="1"/>
        <rFont val="Calibri"/>
        <family val="2"/>
        <charset val="204"/>
        <scheme val="minor"/>
      </rPr>
      <t xml:space="preserve">  Сравнение с NULL можно проводить только с оператором IS</t>
    </r>
  </si>
  <si>
    <r>
      <t>£</t>
    </r>
    <r>
      <rPr>
        <sz val="12"/>
        <color theme="1"/>
        <rFont val="Calibri"/>
        <family val="2"/>
        <charset val="204"/>
        <scheme val="minor"/>
      </rPr>
      <t xml:space="preserve">  </t>
    </r>
    <r>
      <rPr>
        <sz val="11"/>
        <color theme="1"/>
        <rFont val="Calibri"/>
        <family val="2"/>
        <charset val="204"/>
        <scheme val="minor"/>
      </rPr>
      <t>select concat(`index`," ", `city`) from Orders;</t>
    </r>
  </si>
  <si>
    <t>1.1 Привести ответ развернуто (не конечной цифрой)</t>
  </si>
  <si>
    <r>
      <t>1.1</t>
    </r>
    <r>
      <rPr>
        <sz val="7"/>
        <color theme="1"/>
        <rFont val="Times New Roman"/>
        <family val="1"/>
        <charset val="204"/>
      </rPr>
      <t xml:space="preserve">      </t>
    </r>
    <r>
      <rPr>
        <sz val="11"/>
        <color theme="1"/>
        <rFont val="Arial Narrow"/>
        <family val="2"/>
        <charset val="204"/>
      </rPr>
      <t xml:space="preserve">Продавец продаёт шапку. Стоит 10 р. Подходит покупатель, меряет и согласен взять, но у него есть только банкнота 25 р. Продавец отсылает мальчика с этими 25 р. к соседке разменять. Мальчик прибегает, и отдаёт 10+10+5. Продавец отдаёт шапку и сдачу 15 руб. Через какое-то время приходит соседка и говорит, что 25 р. фальшивые, требует отдать ей деньги. Ну что делать, продавец лезет в кассу и возвращает ей деньги. </t>
    </r>
    <r>
      <rPr>
        <b/>
        <sz val="11"/>
        <color theme="1"/>
        <rFont val="Arial Narrow"/>
        <family val="2"/>
        <charset val="204"/>
      </rPr>
      <t>На сколько обманули продавца?</t>
    </r>
  </si>
  <si>
    <t>1.2 Привести ответ развернуто (не конечной цифрой)</t>
  </si>
  <si>
    <r>
      <t>1.2</t>
    </r>
    <r>
      <rPr>
        <sz val="7"/>
        <color theme="1"/>
        <rFont val="Times New Roman"/>
        <family val="1"/>
        <charset val="204"/>
      </rPr>
      <t xml:space="preserve">     </t>
    </r>
    <r>
      <rPr>
        <sz val="11"/>
        <color theme="1"/>
        <rFont val="Arial Narrow"/>
        <family val="2"/>
        <charset val="204"/>
      </rPr>
      <t xml:space="preserve">В конференц - зале одновременно участвовали  13 специалистов в сфере анализа данных. По окончанию конференции они начали постепенно расходиться. Каждый уходящий жал руку всем оставшимся и покидал зал. </t>
    </r>
    <r>
      <rPr>
        <b/>
        <sz val="11"/>
        <color theme="1"/>
        <rFont val="Arial Narrow"/>
        <family val="2"/>
        <charset val="204"/>
      </rPr>
      <t>Сколько рукопожатий было совершено?</t>
    </r>
  </si>
  <si>
    <t>Прогноз,шт</t>
  </si>
  <si>
    <t>Прогноз, шт</t>
  </si>
  <si>
    <t>Отклонение продаж от прогноза, %</t>
  </si>
  <si>
    <t>Кол-во товаров</t>
  </si>
  <si>
    <t>Ошибка прогноза, WAPE</t>
  </si>
  <si>
    <t>Кол-во товаров с перепрогнозом (больше 30%)</t>
  </si>
  <si>
    <t>Кол-во товаров с недопрогнозом (больше 20%)</t>
  </si>
  <si>
    <t>Продажи, прогноз остатки на начало месяца (в шт) по уровню ЛИМОНАД (Исходные данные)</t>
  </si>
  <si>
    <t>неделя</t>
  </si>
  <si>
    <t>можно добавлять доп столбцы с вычислениями</t>
  </si>
  <si>
    <t>Задание 3.2 Написать аналитическую записку о соответствии прогнозов и фактов продаж</t>
  </si>
  <si>
    <t xml:space="preserve">3) Рассчитать рейтинги товаров на основании их продаж в рублях </t>
  </si>
  <si>
    <t>Прогноз продаж</t>
  </si>
  <si>
    <t>fcst (кол-во)</t>
  </si>
  <si>
    <t>4) Вывести сравнительную таблицу прогноза и факта за 02.01.2011 по магазину 1543</t>
  </si>
  <si>
    <r>
      <t>1)</t>
    </r>
    <r>
      <rPr>
        <sz val="7"/>
        <color theme="1"/>
        <rFont val="Times New Roman"/>
        <family val="1"/>
        <charset val="204"/>
      </rPr>
      <t>  </t>
    </r>
    <r>
      <rPr>
        <sz val="11"/>
        <color theme="1"/>
        <rFont val="Arial Narrow"/>
        <family val="2"/>
        <charset val="204"/>
      </rPr>
      <t>Найти среднюю цену каждого товара (itemid) по магазину (Shop)943;</t>
    </r>
  </si>
  <si>
    <r>
      <t>2)</t>
    </r>
    <r>
      <rPr>
        <sz val="7"/>
        <color theme="1"/>
        <rFont val="Times New Roman"/>
        <family val="1"/>
        <charset val="204"/>
      </rPr>
      <t>  </t>
    </r>
    <r>
      <rPr>
        <sz val="11"/>
        <color theme="1"/>
        <rFont val="Arial Narrow"/>
        <family val="2"/>
        <charset val="204"/>
      </rPr>
      <t>Вывести количество покупок каждого товара за 01/01/2011.</t>
    </r>
  </si>
  <si>
    <t>Названия строк</t>
  </si>
  <si>
    <t xml:space="preserve">Itemid (товар) </t>
  </si>
  <si>
    <t>Absolute Error</t>
  </si>
  <si>
    <t>Флаг перепрогноза</t>
  </si>
  <si>
    <t>Флаг недопрогноза</t>
  </si>
  <si>
    <t xml:space="preserve"> Прогноз,шт</t>
  </si>
  <si>
    <t xml:space="preserve"> Продажи, шт</t>
  </si>
  <si>
    <t xml:space="preserve"> Отклонение продаж от прогноза, %</t>
  </si>
  <si>
    <t xml:space="preserve"> Ошибка прогноза, WAPE</t>
  </si>
  <si>
    <t xml:space="preserve">Наиболее близкое соответствие прогноза и факта наблюдается у бренда EVERVESS, где отклонение продаж от прогноза минимально, а значение WAPE находится на низком уровне, что говорит о высокой точности планирования. 
Аналогично относительно стабильная ситуация фиксируется по бренду АРИАНТ, где отклонения находятся в допустимых пределах и не носят системного характера.
В то же время по ряду брендов зафиксированы существенные расхождения между прогнозом и фактическими продажами. 
Бренд ДОБРЫЙ демонстрирует выраженный недопрогноз: фактические продажи значительно превышают плановые значения, что подтверждается высоким процентом отклонения и значением WAPE. 
Это может указывать на недоучёт спроса или влияние внешних факторов, таких как промо-активности или сезонные эффекты.
Подобная ситуация, но с меньшей степенью выраженности, наблюдается и у брендов MOUNTAIN и 7UP, где также зафиксированы товары с существенным превышением факта над прогнозом.
Перепрогноз в рассматриваемом периоде выражен у таких брендов, как ЛЮБИМЫЙ ВКУС, НИАГАРА и МОЛНИЯ, отмечается снижение фактических продаж относительно плановых значений, что может приводить к избыточным остаткам и неэффективному использованию оборотных средств.
Рекомендуется скорректировать подходы к прогнозированию по брендам с наибольшими отклонениями, уделив особое внимание отдельным SKU, формирующим основную часть ошибки прогноза. 
Для таких товаров целесообразно проанализировать факторы спроса, остатки на начало периода и влияние промо-активностей, а также использовать полученные выводы для уточнения плановых параметров в последующих периодах.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</si>
</sst>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5" x14ac:knownFonts="1">
    <font>
      <sz val="11"/>
      <color theme="1"/>
      <name val="Calibri"/>
      <family val="2"/>
      <charset val="204"/>
      <scheme val="minor"/>
    </font>
    <font>
      <b/>
      <sz val="11"/>
      <color theme="1"/>
      <name val="Calibri"/>
      <family val="2"/>
      <charset val="204"/>
      <scheme val="minor"/>
    </font>
    <font>
      <sz val="11"/>
      <color theme="1"/>
      <name val="Calibri"/>
      <family val="2"/>
      <scheme val="minor"/>
    </font>
    <font>
      <sz val="11"/>
      <color theme="1"/>
      <name val="Arial Narrow"/>
      <family val="2"/>
      <charset val="204"/>
    </font>
    <font>
      <sz val="7"/>
      <color theme="1"/>
      <name val="Times New Roman"/>
      <family val="1"/>
      <charset val="204"/>
    </font>
    <font>
      <b/>
      <sz val="11"/>
      <color theme="1"/>
      <name val="Arial Narrow"/>
      <family val="2"/>
      <charset val="204"/>
    </font>
    <font>
      <sz val="11"/>
      <color rgb="FF000000"/>
      <name val="Arial Narrow"/>
      <family val="2"/>
      <charset val="204"/>
    </font>
    <font>
      <b/>
      <sz val="11"/>
      <color theme="1"/>
      <name val="Calibri"/>
      <family val="2"/>
      <scheme val="minor"/>
    </font>
    <font>
      <sz val="11"/>
      <color theme="1"/>
      <name val="Wingdings 2"/>
      <family val="1"/>
      <charset val="2"/>
    </font>
    <font>
      <sz val="12"/>
      <color theme="1"/>
      <name val="Calibri"/>
      <family val="2"/>
      <charset val="204"/>
      <scheme val="minor"/>
    </font>
    <font>
      <sz val="11"/>
      <color theme="1"/>
      <name val="Calibri"/>
      <family val="2"/>
      <charset val="204"/>
      <scheme val="minor"/>
    </font>
    <font>
      <sz val="9"/>
      <color indexed="81"/>
      <name val="Tahoma"/>
      <charset val="1"/>
    </font>
    <font>
      <b/>
      <sz val="9"/>
      <color indexed="81"/>
      <name val="Tahoma"/>
      <charset val="1"/>
    </font>
    <font>
      <sz val="9"/>
      <color indexed="81"/>
      <name val="Tahoma"/>
      <family val="2"/>
      <charset val="204"/>
    </font>
    <font>
      <b/>
      <sz val="9"/>
      <color indexed="81"/>
      <name val="Tahoma"/>
      <family val="2"/>
      <charset val="204"/>
    </font>
  </fonts>
  <fills count="3">
    <fill>
      <patternFill patternType="none"/>
    </fill>
    <fill>
      <patternFill patternType="gray125"/>
    </fill>
    <fill>
      <patternFill patternType="solid">
        <fgColor rgb="FFFFFF0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3">
    <xf numFmtId="0" fontId="0" fillId="0" borderId="0"/>
    <xf numFmtId="0" fontId="2" fillId="0" borderId="0"/>
    <xf numFmtId="9" fontId="10" fillId="0" borderId="0" applyFont="0" applyFill="0" applyBorder="0" applyAlignment="0" applyProtection="0"/>
  </cellStyleXfs>
  <cellXfs count="46">
    <xf numFmtId="0" fontId="0" fillId="0" borderId="0" xfId="0"/>
    <xf numFmtId="0" fontId="2" fillId="0" borderId="0" xfId="1"/>
    <xf numFmtId="0" fontId="3" fillId="0" borderId="0" xfId="1" applyFont="1" applyAlignment="1">
      <alignment vertical="center"/>
    </xf>
    <xf numFmtId="0" fontId="2" fillId="0" borderId="0" xfId="1" applyAlignment="1">
      <alignment vertical="top" wrapText="1"/>
    </xf>
    <xf numFmtId="0" fontId="5" fillId="0" borderId="0" xfId="1" applyFont="1" applyAlignment="1">
      <alignment vertical="center"/>
    </xf>
    <xf numFmtId="0" fontId="7" fillId="0" borderId="0" xfId="1" applyFont="1"/>
    <xf numFmtId="0" fontId="3" fillId="0" borderId="0" xfId="1" applyFont="1" applyAlignment="1">
      <alignment horizontal="left" vertical="center" indent="2"/>
    </xf>
    <xf numFmtId="0" fontId="0" fillId="0" borderId="1" xfId="0" applyBorder="1"/>
    <xf numFmtId="3" fontId="0" fillId="0" borderId="1" xfId="0" applyNumberFormat="1" applyBorder="1"/>
    <xf numFmtId="0" fontId="0" fillId="0" borderId="2" xfId="0" applyBorder="1"/>
    <xf numFmtId="3" fontId="0" fillId="0" borderId="2" xfId="0" applyNumberFormat="1" applyBorder="1"/>
    <xf numFmtId="0" fontId="0" fillId="0" borderId="1" xfId="0" applyNumberFormat="1" applyBorder="1"/>
    <xf numFmtId="0" fontId="0" fillId="0" borderId="0" xfId="0"/>
    <xf numFmtId="0" fontId="1" fillId="0" borderId="0" xfId="0" applyFont="1"/>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1" fillId="0" borderId="1" xfId="0" applyFont="1" applyFill="1" applyBorder="1" applyAlignment="1">
      <alignment horizontal="center" vertical="center" wrapText="1"/>
    </xf>
    <xf numFmtId="0" fontId="0" fillId="0" borderId="0" xfId="0" applyAlignment="1">
      <alignment vertical="center"/>
    </xf>
    <xf numFmtId="0" fontId="8" fillId="0" borderId="0" xfId="0" applyFont="1" applyAlignment="1">
      <alignment vertical="center"/>
    </xf>
    <xf numFmtId="0" fontId="1" fillId="0" borderId="0" xfId="0" applyFont="1" applyAlignment="1">
      <alignment vertical="center"/>
    </xf>
    <xf numFmtId="0" fontId="3" fillId="0" borderId="0" xfId="1" applyFont="1" applyBorder="1" applyAlignment="1">
      <alignment vertical="center" wrapText="1"/>
    </xf>
    <xf numFmtId="14" fontId="3" fillId="0" borderId="0" xfId="1" applyNumberFormat="1" applyFont="1" applyBorder="1" applyAlignment="1">
      <alignment vertical="center" wrapText="1"/>
    </xf>
    <xf numFmtId="0" fontId="9" fillId="0" borderId="0" xfId="0" applyFont="1" applyAlignment="1">
      <alignment vertical="center"/>
    </xf>
    <xf numFmtId="3" fontId="0" fillId="0" borderId="0" xfId="0" applyNumberFormat="1"/>
    <xf numFmtId="9" fontId="0" fillId="0" borderId="0" xfId="2" applyFont="1"/>
    <xf numFmtId="0" fontId="3" fillId="0" borderId="1" xfId="1" applyFont="1" applyBorder="1" applyAlignment="1">
      <alignment vertical="center" wrapText="1"/>
    </xf>
    <xf numFmtId="0" fontId="6" fillId="0" borderId="1" xfId="1" applyFont="1" applyBorder="1" applyAlignment="1">
      <alignment vertical="center" wrapText="1"/>
    </xf>
    <xf numFmtId="14" fontId="3" fillId="0" borderId="1" xfId="1" applyNumberFormat="1" applyFont="1" applyBorder="1" applyAlignment="1">
      <alignment vertical="center" wrapText="1"/>
    </xf>
    <xf numFmtId="0" fontId="6" fillId="0" borderId="1" xfId="1" applyFont="1" applyBorder="1" applyAlignment="1">
      <alignment horizontal="right" vertical="center" wrapText="1"/>
    </xf>
    <xf numFmtId="0" fontId="2" fillId="0" borderId="0" xfId="1" applyBorder="1" applyAlignment="1">
      <alignment vertical="top" wrapText="1"/>
    </xf>
    <xf numFmtId="0" fontId="3" fillId="0" borderId="1" xfId="1" applyNumberFormat="1" applyFont="1" applyBorder="1" applyAlignment="1">
      <alignment vertical="center" wrapText="1"/>
    </xf>
    <xf numFmtId="0" fontId="3" fillId="0" borderId="0" xfId="1" applyFont="1" applyAlignment="1">
      <alignment horizontal="left" vertical="center" indent="5"/>
    </xf>
    <xf numFmtId="0" fontId="3" fillId="0" borderId="0" xfId="1" applyFont="1" applyFill="1" applyAlignment="1">
      <alignment horizontal="left" vertical="center" indent="5"/>
    </xf>
    <xf numFmtId="0" fontId="8" fillId="2" borderId="0" xfId="0" applyFont="1" applyFill="1" applyAlignment="1">
      <alignment vertical="center"/>
    </xf>
    <xf numFmtId="0" fontId="0" fillId="2" borderId="0" xfId="0" applyFill="1"/>
    <xf numFmtId="0" fontId="0" fillId="0" borderId="0" xfId="0" pivotButton="1"/>
    <xf numFmtId="0" fontId="0" fillId="0" borderId="0" xfId="0" applyAlignment="1">
      <alignment horizontal="left"/>
    </xf>
    <xf numFmtId="0" fontId="0" fillId="0" borderId="0" xfId="0" applyNumberFormat="1"/>
    <xf numFmtId="164" fontId="0" fillId="0" borderId="0" xfId="2" applyNumberFormat="1" applyFont="1"/>
    <xf numFmtId="0" fontId="0" fillId="0" borderId="0" xfId="2" applyNumberFormat="1" applyFont="1"/>
    <xf numFmtId="10" fontId="0" fillId="0" borderId="0" xfId="0" applyNumberFormat="1"/>
    <xf numFmtId="0" fontId="0" fillId="0" borderId="1" xfId="0" applyFill="1" applyBorder="1"/>
    <xf numFmtId="0" fontId="3" fillId="0" borderId="0" xfId="1" applyFont="1" applyAlignment="1">
      <alignment horizontal="center" vertical="center" wrapText="1"/>
    </xf>
    <xf numFmtId="0" fontId="0" fillId="0" borderId="0" xfId="0" applyFill="1" applyBorder="1" applyAlignment="1">
      <alignment vertical="top" wrapText="1"/>
    </xf>
    <xf numFmtId="0" fontId="0" fillId="0" borderId="0" xfId="0" applyAlignment="1">
      <alignment vertical="top"/>
    </xf>
    <xf numFmtId="0" fontId="0" fillId="0" borderId="0" xfId="0" applyAlignment="1"/>
  </cellXfs>
  <cellStyles count="3">
    <cellStyle name="Обычный" xfId="0" builtinId="0"/>
    <cellStyle name="Обычный 2" xfId="1" xr:uid="{00000000-0005-0000-0000-000001000000}"/>
    <cellStyle name="Процентный" xfId="2" builtinId="5"/>
  </cellStyles>
  <dxfs count="4">
    <dxf>
      <numFmt numFmtId="14" formatCode="0.00%"/>
    </dxf>
    <dxf>
      <numFmt numFmtId="14" formatCode="0.00%"/>
    </dxf>
    <dxf>
      <numFmt numFmtId="14" formatCode="0.00%"/>
    </dxf>
    <dxf>
      <numFmt numFmtId="14"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pivotCacheDefinition" Target="pivotCache/pivotCacheDefinition1.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leb" refreshedDate="46050.808893981484" createdVersion="7" refreshedVersion="7" minRefreshableVersion="3" recordCount="24" xr:uid="{59292B7B-C30F-4455-A265-A627FB1336DA}">
  <cacheSource type="worksheet">
    <worksheetSource ref="A3:J27" sheet="Задача 2 "/>
  </cacheSource>
  <cacheFields count="12">
    <cacheField name="Название" numFmtId="0">
      <sharedItems containsBlank="1"/>
    </cacheField>
    <cacheField name="Бренд" numFmtId="0">
      <sharedItems containsBlank="1" count="11">
        <s v="АРИАНТ"/>
        <s v="МОЛНИЯ"/>
        <s v="SPRITE"/>
        <s v="7UP"/>
        <s v="ДОБРЫЙ"/>
        <s v="НИАГАРА"/>
        <s v="EVERVESS"/>
        <s v="ЛЮБИМЫЙ ВКУС"/>
        <s v="MOUNTAIN"/>
        <s v="ШИППИ"/>
        <m/>
      </sharedItems>
    </cacheField>
    <cacheField name="неделя" numFmtId="0">
      <sharedItems containsString="0" containsBlank="1" containsNumber="1" containsInteger="1" minValue="34" maxValue="34"/>
    </cacheField>
    <cacheField name="Прогноз,шт" numFmtId="0">
      <sharedItems containsString="0" containsBlank="1" containsNumber="1" containsInteger="1" minValue="270" maxValue="5544" count="23">
        <n v="2772"/>
        <n v="3462"/>
        <n v="5544"/>
        <n v="3252"/>
        <n v="3684"/>
        <n v="3528"/>
        <n v="2424"/>
        <n v="2136"/>
        <n v="1224"/>
        <n v="408"/>
        <n v="2526"/>
        <n v="960"/>
        <n v="2394"/>
        <n v="804"/>
        <n v="1344"/>
        <n v="1763"/>
        <n v="1626"/>
        <n v="270"/>
        <n v="1104"/>
        <n v="980"/>
        <n v="1554"/>
        <n v="456"/>
        <m/>
      </sharedItems>
    </cacheField>
    <cacheField name="Продажи, шт" numFmtId="0">
      <sharedItems containsString="0" containsBlank="1" containsNumber="1" containsInteger="1" minValue="255" maxValue="5100"/>
    </cacheField>
    <cacheField name="Остаток на начало периода, шт" numFmtId="0">
      <sharedItems containsString="0" containsBlank="1" containsNumber="1" minValue="189" maxValue="5050"/>
    </cacheField>
    <cacheField name="Отклонение продаж от прогноза, %" numFmtId="0">
      <sharedItems containsString="0" containsBlank="1" containsNumber="1" minValue="-0.26035167328417469" maxValue="0.65174129353233834"/>
    </cacheField>
    <cacheField name="Absolute Error" numFmtId="0">
      <sharedItems containsString="0" containsBlank="1" containsNumber="1" containsInteger="1" minValue="15" maxValue="766"/>
    </cacheField>
    <cacheField name="Флаг перепрогноза" numFmtId="0">
      <sharedItems containsString="0" containsBlank="1" containsNumber="1" containsInteger="1" minValue="0" maxValue="0"/>
    </cacheField>
    <cacheField name="Флаг недопрогноза" numFmtId="0">
      <sharedItems containsString="0" containsBlank="1" containsNumber="1" containsInteger="1" minValue="0" maxValue="1"/>
    </cacheField>
    <cacheField name="Отклонение продаж от прогноза,%" numFmtId="0" formula=" ('Продажи, шт'-'Прогноз,шт') /'Прогноз,шт'" databaseField="0"/>
    <cacheField name="Ошибка прогноза, WAPE" numFmtId="0" formula="'Absolute Error'/'Продажи, шт'" databaseField="0"/>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
  <r>
    <s v="НАПИТОК АРИАНТ 1,5Л БУРАТИНО ГАЗ. ПЭТ"/>
    <x v="0"/>
    <n v="34"/>
    <x v="0"/>
    <n v="2351"/>
    <n v="5050"/>
    <n v="-0.15187590187590189"/>
    <n v="421"/>
    <n v="0"/>
    <n v="0"/>
  </r>
  <r>
    <s v="НАПИТОК МОЛНИЯ 2Л ЛИМОНАД ГАЗ. ПЭТ"/>
    <x v="1"/>
    <n v="34"/>
    <x v="1"/>
    <n v="2720"/>
    <n v="2172"/>
    <n v="-0.21432697862507222"/>
    <n v="742"/>
    <n v="0"/>
    <n v="0"/>
  </r>
  <r>
    <s v="НАПИТОК АРИАНТ 1,5Л ЛИМОНАД ГАЗ. ПЭТ"/>
    <x v="0"/>
    <n v="34"/>
    <x v="2"/>
    <n v="5100"/>
    <n v="2098"/>
    <n v="-8.0086580086580081E-2"/>
    <n v="444"/>
    <n v="0"/>
    <n v="0"/>
  </r>
  <r>
    <s v="НАПИТОК SPRITE 2Л ГАЗ. ПЭТ"/>
    <x v="2"/>
    <n v="34"/>
    <x v="3"/>
    <n v="3562"/>
    <n v="1926"/>
    <n v="9.5325953259532595E-2"/>
    <n v="310"/>
    <n v="0"/>
    <n v="0"/>
  </r>
  <r>
    <s v="НАПИТОК SPRITE 1Л ГАЗ. ПЭТ"/>
    <x v="2"/>
    <n v="34"/>
    <x v="4"/>
    <n v="4361"/>
    <n v="1753"/>
    <n v="0.18376764386536373"/>
    <n v="677"/>
    <n v="0"/>
    <n v="0"/>
  </r>
  <r>
    <s v="НАПИТОК АРИАНТ 1,5Л ВЕСЕЛЫЙ КОЛОКОЛЬЧИК ГАЗ. ПЭТ"/>
    <x v="0"/>
    <n v="34"/>
    <x v="5"/>
    <n v="3262"/>
    <n v="1664"/>
    <n v="-7.5396825396825393E-2"/>
    <n v="266"/>
    <n v="0"/>
    <n v="0"/>
  </r>
  <r>
    <s v="НАПИТОК АРИАНТ 1,5Л ЛИМОН-ЛАЙМ ГАЗ. ПЭТ"/>
    <x v="0"/>
    <n v="34"/>
    <x v="0"/>
    <n v="2596"/>
    <n v="1589"/>
    <n v="-6.3492063492063489E-2"/>
    <n v="176"/>
    <n v="0"/>
    <n v="0"/>
  </r>
  <r>
    <s v="НАПИТОК SPRITE 0,33Л ГАЗ. Ж/Б"/>
    <x v="2"/>
    <n v="34"/>
    <x v="6"/>
    <n v="2607"/>
    <n v="1407"/>
    <n v="7.5495049504950493E-2"/>
    <n v="183"/>
    <n v="0"/>
    <n v="0"/>
  </r>
  <r>
    <s v="НАПИТОК SPRITE 0,5Л ГАЗ. ПЭТ"/>
    <x v="2"/>
    <n v="34"/>
    <x v="7"/>
    <n v="2902"/>
    <n v="1357"/>
    <n v="0.35861423220973782"/>
    <n v="766"/>
    <n v="0"/>
    <n v="1"/>
  </r>
  <r>
    <s v="НАПИТОК 7UP 0,6Л ГАЗ. ПЭТ"/>
    <x v="3"/>
    <n v="34"/>
    <x v="8"/>
    <n v="1538"/>
    <n v="1142"/>
    <n v="0.25653594771241828"/>
    <n v="314"/>
    <n v="0"/>
    <n v="1"/>
  </r>
  <r>
    <s v="НАПИТОК 7UP 1,25Л ГАЗ. ПЭТ"/>
    <x v="3"/>
    <n v="34"/>
    <x v="9"/>
    <n v="499"/>
    <n v="1025"/>
    <n v="0.22303921568627452"/>
    <n v="91"/>
    <n v="0"/>
    <n v="1"/>
  </r>
  <r>
    <s v="НАПИТОК МОЛНИЯ 2Л КОЛОКОЛЬЧИК ГАЗ. ПЭТ"/>
    <x v="1"/>
    <n v="34"/>
    <x v="10"/>
    <n v="2043"/>
    <n v="1013"/>
    <n v="-0.19121140142517815"/>
    <n v="483"/>
    <n v="0"/>
    <n v="0"/>
  </r>
  <r>
    <s v="НАПИТОК ДОБРЫЙ 1Л ЛИМОНАД ГАЗ. ПЭТ"/>
    <x v="4"/>
    <n v="34"/>
    <x v="11"/>
    <n v="1403"/>
    <n v="1003"/>
    <n v="0.46145833333333336"/>
    <n v="443"/>
    <n v="0"/>
    <n v="1"/>
  </r>
  <r>
    <s v="НАПИТОК НИАГАРА 1,5Л КОЛОКОЛЬЧИК ГАЗ. ПЭТ"/>
    <x v="5"/>
    <n v="34"/>
    <x v="12"/>
    <n v="1787"/>
    <n v="964"/>
    <n v="-0.25355054302422725"/>
    <n v="607"/>
    <n v="0"/>
    <n v="0"/>
  </r>
  <r>
    <s v="НАПИТОК ДОБРЫЙ 1Л БУРАТИНО ГАЗ. ПЭТ"/>
    <x v="4"/>
    <n v="34"/>
    <x v="13"/>
    <n v="1328"/>
    <n v="945"/>
    <n v="0.65174129353233834"/>
    <n v="524"/>
    <n v="0"/>
    <n v="1"/>
  </r>
  <r>
    <s v="НАПИТОК 7UP 2Л ГАЗ. ПЭТ"/>
    <x v="3"/>
    <n v="34"/>
    <x v="14"/>
    <n v="1543"/>
    <n v="890"/>
    <n v="0.14806547619047619"/>
    <n v="199"/>
    <n v="0"/>
    <n v="0"/>
  </r>
  <r>
    <s v="НАПИТОК НИАГАРА 1,5Л БУРАТИНО ГАЗ. ПЭТ"/>
    <x v="5"/>
    <n v="34"/>
    <x v="15"/>
    <n v="1304"/>
    <n v="874"/>
    <n v="-0.26035167328417469"/>
    <n v="459"/>
    <n v="0"/>
    <n v="0"/>
  </r>
  <r>
    <s v="НАПИТОК НИАГАРА 1,5Л ЛИМОНАД  ГАЗ. ПЭТ"/>
    <x v="5"/>
    <n v="34"/>
    <x v="16"/>
    <n v="1349"/>
    <n v="834"/>
    <n v="-0.17035670356703567"/>
    <n v="277"/>
    <n v="0"/>
    <n v="0"/>
  </r>
  <r>
    <s v="ВОДА ГАЗ. EVERVESS 2Л ТОНИК ЛИМОННЫЙ ПЭТ"/>
    <x v="6"/>
    <n v="34"/>
    <x v="17"/>
    <n v="255"/>
    <n v="586.82100000000003"/>
    <n v="-5.5555555555555552E-2"/>
    <n v="15"/>
    <n v="0"/>
    <n v="0"/>
  </r>
  <r>
    <s v="НАПИТОК НИАГАРА 0,5Л ЛИМОНАД ГАЗ. ПЭТ"/>
    <x v="5"/>
    <n v="34"/>
    <x v="18"/>
    <n v="960"/>
    <n v="541"/>
    <n v="-0.13043478260869565"/>
    <n v="144"/>
    <n v="0"/>
    <n v="0"/>
  </r>
  <r>
    <s v="НАПИТОК ЛЮБИМЫЙ ВКУС 0,5Л ЛЮБИМЫЙ ЛИМОНАД ГАЗ. СТ/Б"/>
    <x v="7"/>
    <n v="34"/>
    <x v="19"/>
    <n v="727"/>
    <n v="489"/>
    <n v="-0.25816326530612244"/>
    <n v="253"/>
    <n v="0"/>
    <n v="0"/>
  </r>
  <r>
    <s v="НАПИТОК MOUNTAIN DEW 2Л ГАЗ. ПЭТ"/>
    <x v="8"/>
    <n v="34"/>
    <x v="20"/>
    <n v="2050"/>
    <n v="301"/>
    <n v="0.31917631917631917"/>
    <n v="496"/>
    <n v="0"/>
    <n v="1"/>
  </r>
  <r>
    <s v="НАПИТОК ШИППИ 0,5Л ЛИМОНАД ГАЗ. СТ/Б"/>
    <x v="9"/>
    <n v="34"/>
    <x v="21"/>
    <n v="384"/>
    <n v="189"/>
    <n v="-0.15789473684210525"/>
    <n v="72"/>
    <n v="0"/>
    <n v="0"/>
  </r>
  <r>
    <m/>
    <x v="10"/>
    <m/>
    <x v="22"/>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E8F06D2-C979-4526-A431-A5B638318C7A}" name="Сводная таблица2" cacheId="0" applyNumberFormats="0" applyBorderFormats="0" applyFontFormats="0" applyPatternFormats="0" applyAlignmentFormats="0" applyWidthHeightFormats="1" dataCaption="Значения" updatedVersion="7" minRefreshableVersion="3" useAutoFormatting="1" rowGrandTotals="0" colGrandTotals="0" itemPrintTitles="1" createdVersion="7" indent="0" outline="1" outlineData="1" multipleFieldFilters="0">
  <location ref="A35:H45" firstHeaderRow="0" firstDataRow="1" firstDataCol="1"/>
  <pivotFields count="12">
    <pivotField dataField="1" showAll="0" defaultSubtotal="0"/>
    <pivotField axis="axisRow" showAll="0" defaultSubtotal="0">
      <items count="11">
        <item x="3"/>
        <item x="6"/>
        <item x="8"/>
        <item x="2"/>
        <item x="0"/>
        <item x="4"/>
        <item x="7"/>
        <item x="1"/>
        <item x="5"/>
        <item x="9"/>
        <item h="1" x="10"/>
      </items>
    </pivotField>
    <pivotField showAll="0" defaultSubtotal="0"/>
    <pivotField dataField="1" showAll="0" defaultSubtotal="0"/>
    <pivotField dataField="1" showAll="0" defaultSubtotal="0"/>
    <pivotField showAll="0" defaultSubtotal="0"/>
    <pivotField showAll="0" defaultSubtotal="0"/>
    <pivotField showAll="0" defaultSubtotal="0"/>
    <pivotField dataField="1" showAll="0" defaultSubtotal="0"/>
    <pivotField dataField="1" showAll="0" defaultSubtotal="0"/>
    <pivotField dataField="1" subtotalTop="0" dragToRow="0" dragToCol="0" dragToPage="0" showAll="0" defaultSubtotal="0"/>
    <pivotField dataField="1" subtotalTop="0" dragToRow="0" dragToCol="0" dragToPage="0" showAll="0" defaultSubtotal="0"/>
  </pivotFields>
  <rowFields count="1">
    <field x="1"/>
  </rowFields>
  <rowItems count="10">
    <i>
      <x/>
    </i>
    <i>
      <x v="1"/>
    </i>
    <i>
      <x v="2"/>
    </i>
    <i>
      <x v="3"/>
    </i>
    <i>
      <x v="4"/>
    </i>
    <i>
      <x v="5"/>
    </i>
    <i>
      <x v="6"/>
    </i>
    <i>
      <x v="7"/>
    </i>
    <i>
      <x v="8"/>
    </i>
    <i>
      <x v="9"/>
    </i>
  </rowItems>
  <colFields count="1">
    <field x="-2"/>
  </colFields>
  <colItems count="7">
    <i>
      <x/>
    </i>
    <i i="1">
      <x v="1"/>
    </i>
    <i i="2">
      <x v="2"/>
    </i>
    <i i="3">
      <x v="3"/>
    </i>
    <i i="4">
      <x v="4"/>
    </i>
    <i i="5">
      <x v="5"/>
    </i>
    <i i="6">
      <x v="6"/>
    </i>
  </colItems>
  <dataFields count="7">
    <dataField name=" Прогноз,шт" fld="3" baseField="1" baseItem="0"/>
    <dataField name=" Продажи, шт" fld="4" baseField="1" baseItem="0"/>
    <dataField name=" Отклонение продаж от прогноза, %" fld="10" baseField="1" baseItem="0" numFmtId="10"/>
    <dataField name=" Ошибка прогноза, WAPE" fld="11" baseField="1" baseItem="0" numFmtId="10"/>
    <dataField name="Кол-во товаров" fld="0" subtotal="count" baseField="1" baseItem="0"/>
    <dataField name="Кол-во товаров с перепрогнозом (больше 30%)" fld="8" baseField="1" baseItem="0"/>
    <dataField name="Кол-во товаров с недопрогнозом (больше 20%)" fld="9" baseField="1" baseItem="0"/>
  </dataFields>
  <formats count="2">
    <format dxfId="3">
      <pivotArea outline="0" collapsedLevelsAreSubtotals="1" fieldPosition="0">
        <references count="1">
          <reference field="4294967294" count="1" selected="0">
            <x v="2"/>
          </reference>
        </references>
      </pivotArea>
    </format>
    <format dxfId="2">
      <pivotArea outline="0" collapsedLevelsAreSubtotals="1" fieldPosition="0">
        <references count="1">
          <reference field="4294967294" count="1" selected="0">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3"/>
  <sheetViews>
    <sheetView workbookViewId="0">
      <selection activeCell="V12" sqref="V12"/>
    </sheetView>
  </sheetViews>
  <sheetFormatPr defaultRowHeight="15" x14ac:dyDescent="0.25"/>
  <sheetData>
    <row r="1" spans="1:9" s="12" customFormat="1" x14ac:dyDescent="0.25">
      <c r="A1" s="13" t="s">
        <v>111</v>
      </c>
    </row>
    <row r="2" spans="1:9" s="12" customFormat="1" x14ac:dyDescent="0.25"/>
    <row r="3" spans="1:9" x14ac:dyDescent="0.25">
      <c r="A3" s="42" t="s">
        <v>112</v>
      </c>
      <c r="B3" s="42"/>
      <c r="C3" s="42"/>
      <c r="D3" s="42"/>
      <c r="E3" s="42"/>
      <c r="F3" s="42"/>
      <c r="G3" s="42"/>
      <c r="H3" s="42"/>
      <c r="I3" s="42"/>
    </row>
    <row r="4" spans="1:9" x14ac:dyDescent="0.25">
      <c r="A4" s="42"/>
      <c r="B4" s="42"/>
      <c r="C4" s="42"/>
      <c r="D4" s="42"/>
      <c r="E4" s="42"/>
      <c r="F4" s="42"/>
      <c r="G4" s="42"/>
      <c r="H4" s="42"/>
      <c r="I4" s="42"/>
    </row>
    <row r="5" spans="1:9" x14ac:dyDescent="0.25">
      <c r="A5" s="42"/>
      <c r="B5" s="42"/>
      <c r="C5" s="42"/>
      <c r="D5" s="42"/>
      <c r="E5" s="42"/>
      <c r="F5" s="42"/>
      <c r="G5" s="42"/>
      <c r="H5" s="42"/>
      <c r="I5" s="42"/>
    </row>
    <row r="6" spans="1:9" x14ac:dyDescent="0.25">
      <c r="A6" s="42"/>
      <c r="B6" s="42"/>
      <c r="C6" s="42"/>
      <c r="D6" s="42"/>
      <c r="E6" s="42"/>
      <c r="F6" s="42"/>
      <c r="G6" s="42"/>
      <c r="H6" s="42"/>
      <c r="I6" s="42"/>
    </row>
    <row r="7" spans="1:9" x14ac:dyDescent="0.25">
      <c r="A7" s="42"/>
      <c r="B7" s="42"/>
      <c r="C7" s="42"/>
      <c r="D7" s="42"/>
      <c r="E7" s="42"/>
      <c r="F7" s="42"/>
      <c r="G7" s="42"/>
      <c r="H7" s="42"/>
      <c r="I7" s="42"/>
    </row>
    <row r="8" spans="1:9" x14ac:dyDescent="0.25">
      <c r="A8" s="42"/>
      <c r="B8" s="42"/>
      <c r="C8" s="42"/>
      <c r="D8" s="42"/>
      <c r="E8" s="42"/>
      <c r="F8" s="42"/>
      <c r="G8" s="42"/>
      <c r="H8" s="42"/>
      <c r="I8" s="42"/>
    </row>
    <row r="9" spans="1:9" x14ac:dyDescent="0.25">
      <c r="A9" s="42"/>
      <c r="B9" s="42"/>
      <c r="C9" s="42"/>
      <c r="D9" s="42"/>
      <c r="E9" s="42"/>
      <c r="F9" s="42"/>
      <c r="G9" s="42"/>
      <c r="H9" s="42"/>
      <c r="I9" s="42"/>
    </row>
    <row r="10" spans="1:9" x14ac:dyDescent="0.25">
      <c r="A10" s="42"/>
      <c r="B10" s="42"/>
      <c r="C10" s="42"/>
      <c r="D10" s="42"/>
      <c r="E10" s="42"/>
      <c r="F10" s="42"/>
      <c r="G10" s="42"/>
      <c r="H10" s="42"/>
      <c r="I10" s="42"/>
    </row>
    <row r="11" spans="1:9" x14ac:dyDescent="0.25">
      <c r="A11" s="42"/>
      <c r="B11" s="42"/>
      <c r="C11" s="42"/>
      <c r="D11" s="42"/>
      <c r="E11" s="42"/>
      <c r="F11" s="42"/>
      <c r="G11" s="42"/>
      <c r="H11" s="42"/>
      <c r="I11" s="42"/>
    </row>
    <row r="13" spans="1:9" x14ac:dyDescent="0.25">
      <c r="A13" s="13" t="s">
        <v>113</v>
      </c>
      <c r="B13" s="12"/>
      <c r="C13" s="12"/>
      <c r="D13" s="12"/>
      <c r="E13" s="12"/>
      <c r="F13" s="12"/>
    </row>
    <row r="15" spans="1:9" x14ac:dyDescent="0.25">
      <c r="A15" s="42" t="s">
        <v>114</v>
      </c>
      <c r="B15" s="42"/>
      <c r="C15" s="42"/>
      <c r="D15" s="42"/>
      <c r="E15" s="42"/>
      <c r="F15" s="42"/>
      <c r="G15" s="42"/>
      <c r="H15" s="42"/>
      <c r="I15" s="42"/>
    </row>
    <row r="16" spans="1:9" x14ac:dyDescent="0.25">
      <c r="A16" s="42"/>
      <c r="B16" s="42"/>
      <c r="C16" s="42"/>
      <c r="D16" s="42"/>
      <c r="E16" s="42"/>
      <c r="F16" s="42"/>
      <c r="G16" s="42"/>
      <c r="H16" s="42"/>
      <c r="I16" s="42"/>
    </row>
    <row r="17" spans="1:9" x14ac:dyDescent="0.25">
      <c r="A17" s="42"/>
      <c r="B17" s="42"/>
      <c r="C17" s="42"/>
      <c r="D17" s="42"/>
      <c r="E17" s="42"/>
      <c r="F17" s="42"/>
      <c r="G17" s="42"/>
      <c r="H17" s="42"/>
      <c r="I17" s="42"/>
    </row>
    <row r="18" spans="1:9" x14ac:dyDescent="0.25">
      <c r="A18" s="42"/>
      <c r="B18" s="42"/>
      <c r="C18" s="42"/>
      <c r="D18" s="42"/>
      <c r="E18" s="42"/>
      <c r="F18" s="42"/>
      <c r="G18" s="42"/>
      <c r="H18" s="42"/>
      <c r="I18" s="42"/>
    </row>
    <row r="19" spans="1:9" x14ac:dyDescent="0.25">
      <c r="A19" s="42"/>
      <c r="B19" s="42"/>
      <c r="C19" s="42"/>
      <c r="D19" s="42"/>
      <c r="E19" s="42"/>
      <c r="F19" s="42"/>
      <c r="G19" s="42"/>
      <c r="H19" s="42"/>
      <c r="I19" s="42"/>
    </row>
    <row r="20" spans="1:9" x14ac:dyDescent="0.25">
      <c r="A20" s="42"/>
      <c r="B20" s="42"/>
      <c r="C20" s="42"/>
      <c r="D20" s="42"/>
      <c r="E20" s="42"/>
      <c r="F20" s="42"/>
      <c r="G20" s="42"/>
      <c r="H20" s="42"/>
      <c r="I20" s="42"/>
    </row>
    <row r="21" spans="1:9" x14ac:dyDescent="0.25">
      <c r="A21" s="42"/>
      <c r="B21" s="42"/>
      <c r="C21" s="42"/>
      <c r="D21" s="42"/>
      <c r="E21" s="42"/>
      <c r="F21" s="42"/>
      <c r="G21" s="42"/>
      <c r="H21" s="42"/>
      <c r="I21" s="42"/>
    </row>
    <row r="22" spans="1:9" x14ac:dyDescent="0.25">
      <c r="A22" s="42"/>
      <c r="B22" s="42"/>
      <c r="C22" s="42"/>
      <c r="D22" s="42"/>
      <c r="E22" s="42"/>
      <c r="F22" s="42"/>
      <c r="G22" s="42"/>
      <c r="H22" s="42"/>
      <c r="I22" s="42"/>
    </row>
    <row r="23" spans="1:9" x14ac:dyDescent="0.25">
      <c r="A23" s="42"/>
      <c r="B23" s="42"/>
      <c r="C23" s="42"/>
      <c r="D23" s="42"/>
      <c r="E23" s="42"/>
      <c r="F23" s="42"/>
      <c r="G23" s="42"/>
      <c r="H23" s="42"/>
      <c r="I23" s="42"/>
    </row>
  </sheetData>
  <mergeCells count="2">
    <mergeCell ref="A3:I11"/>
    <mergeCell ref="A15:I23"/>
  </mergeCell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113FB4-C30F-427C-B13C-526E9B4A04FE}">
  <dimension ref="A1:J63"/>
  <sheetViews>
    <sheetView tabSelected="1" topLeftCell="A28" workbookViewId="0">
      <selection activeCell="J57" sqref="J57"/>
    </sheetView>
  </sheetViews>
  <sheetFormatPr defaultRowHeight="15" x14ac:dyDescent="0.25"/>
  <cols>
    <col min="1" max="1" width="17.28515625" style="12" bestFit="1" customWidth="1"/>
    <col min="2" max="2" width="11.85546875" style="12" bestFit="1" customWidth="1"/>
    <col min="3" max="3" width="13.5703125" style="12" bestFit="1" customWidth="1"/>
    <col min="4" max="4" width="35" style="12" bestFit="1" customWidth="1"/>
    <col min="5" max="5" width="24.28515625" style="12" bestFit="1" customWidth="1"/>
    <col min="6" max="6" width="15.140625" style="12" bestFit="1" customWidth="1"/>
    <col min="7" max="7" width="45.42578125" style="12" bestFit="1" customWidth="1"/>
    <col min="8" max="8" width="45.5703125" style="12" bestFit="1" customWidth="1"/>
    <col min="9" max="9" width="19.28515625" style="12" customWidth="1"/>
    <col min="10" max="10" width="21.28515625" style="12" customWidth="1"/>
    <col min="11" max="16384" width="9.140625" style="12"/>
  </cols>
  <sheetData>
    <row r="1" spans="1:10" x14ac:dyDescent="0.25">
      <c r="A1" s="13" t="s">
        <v>122</v>
      </c>
    </row>
    <row r="2" spans="1:10" x14ac:dyDescent="0.25">
      <c r="G2" s="12" t="s">
        <v>124</v>
      </c>
    </row>
    <row r="3" spans="1:10" ht="30" x14ac:dyDescent="0.25">
      <c r="A3" s="15" t="s">
        <v>18</v>
      </c>
      <c r="B3" s="14" t="s">
        <v>19</v>
      </c>
      <c r="C3" s="14" t="s">
        <v>123</v>
      </c>
      <c r="D3" s="14" t="s">
        <v>115</v>
      </c>
      <c r="E3" s="15" t="s">
        <v>20</v>
      </c>
      <c r="F3" s="16" t="s">
        <v>21</v>
      </c>
      <c r="G3" s="16" t="s">
        <v>117</v>
      </c>
      <c r="H3" s="16" t="s">
        <v>134</v>
      </c>
      <c r="I3" s="16" t="s">
        <v>135</v>
      </c>
      <c r="J3" s="16" t="s">
        <v>136</v>
      </c>
    </row>
    <row r="4" spans="1:10" x14ac:dyDescent="0.25">
      <c r="A4" s="9" t="s">
        <v>22</v>
      </c>
      <c r="B4" s="7" t="s">
        <v>23</v>
      </c>
      <c r="C4" s="7">
        <v>34</v>
      </c>
      <c r="D4" s="11">
        <v>2772</v>
      </c>
      <c r="E4" s="10">
        <v>2351</v>
      </c>
      <c r="F4" s="8">
        <v>5050</v>
      </c>
      <c r="G4" s="38">
        <f>(E4-D4) / D4</f>
        <v>-0.15187590187590189</v>
      </c>
      <c r="H4" s="23">
        <f>ABS(D4-E4)</f>
        <v>421</v>
      </c>
      <c r="I4" s="12">
        <f>IF(G4&lt;-30%,1,0)</f>
        <v>0</v>
      </c>
      <c r="J4" s="39">
        <f>IF(G4&gt;20%,1,0)</f>
        <v>0</v>
      </c>
    </row>
    <row r="5" spans="1:10" x14ac:dyDescent="0.25">
      <c r="A5" s="7" t="s">
        <v>24</v>
      </c>
      <c r="B5" s="7" t="s">
        <v>25</v>
      </c>
      <c r="C5" s="7">
        <v>34</v>
      </c>
      <c r="D5" s="11">
        <v>3462</v>
      </c>
      <c r="E5" s="8">
        <v>2720</v>
      </c>
      <c r="F5" s="8">
        <v>2172</v>
      </c>
      <c r="G5" s="38">
        <f t="shared" ref="G5:G26" si="0">(E5-D5) / D5</f>
        <v>-0.21432697862507222</v>
      </c>
      <c r="H5" s="23">
        <f t="shared" ref="H5:H26" si="1">ABS(D5-E5)</f>
        <v>742</v>
      </c>
      <c r="I5" s="12">
        <f t="shared" ref="I5:I26" si="2">IF(G5&lt;-30%,1,0)</f>
        <v>0</v>
      </c>
      <c r="J5" s="39">
        <f t="shared" ref="J5:J26" si="3">IF(G5&gt;20%,1,0)</f>
        <v>0</v>
      </c>
    </row>
    <row r="6" spans="1:10" x14ac:dyDescent="0.25">
      <c r="A6" s="7" t="s">
        <v>26</v>
      </c>
      <c r="B6" s="7" t="s">
        <v>23</v>
      </c>
      <c r="C6" s="7">
        <v>34</v>
      </c>
      <c r="D6" s="11">
        <v>5544</v>
      </c>
      <c r="E6" s="8">
        <v>5100</v>
      </c>
      <c r="F6" s="8">
        <v>2098</v>
      </c>
      <c r="G6" s="38">
        <f t="shared" si="0"/>
        <v>-8.0086580086580081E-2</v>
      </c>
      <c r="H6" s="23">
        <f t="shared" si="1"/>
        <v>444</v>
      </c>
      <c r="I6" s="12">
        <f t="shared" si="2"/>
        <v>0</v>
      </c>
      <c r="J6" s="39">
        <f t="shared" si="3"/>
        <v>0</v>
      </c>
    </row>
    <row r="7" spans="1:10" x14ac:dyDescent="0.25">
      <c r="A7" s="7" t="s">
        <v>27</v>
      </c>
      <c r="B7" s="7" t="s">
        <v>28</v>
      </c>
      <c r="C7" s="7">
        <v>34</v>
      </c>
      <c r="D7" s="11">
        <v>3252</v>
      </c>
      <c r="E7" s="8">
        <v>3562</v>
      </c>
      <c r="F7" s="8">
        <v>1926</v>
      </c>
      <c r="G7" s="38">
        <f t="shared" si="0"/>
        <v>9.5325953259532595E-2</v>
      </c>
      <c r="H7" s="23">
        <f t="shared" si="1"/>
        <v>310</v>
      </c>
      <c r="I7" s="12">
        <f t="shared" si="2"/>
        <v>0</v>
      </c>
      <c r="J7" s="39">
        <f t="shared" si="3"/>
        <v>0</v>
      </c>
    </row>
    <row r="8" spans="1:10" x14ac:dyDescent="0.25">
      <c r="A8" s="7" t="s">
        <v>29</v>
      </c>
      <c r="B8" s="7" t="s">
        <v>28</v>
      </c>
      <c r="C8" s="7">
        <v>34</v>
      </c>
      <c r="D8" s="11">
        <v>3684</v>
      </c>
      <c r="E8" s="8">
        <v>4361</v>
      </c>
      <c r="F8" s="8">
        <v>1753</v>
      </c>
      <c r="G8" s="38">
        <f t="shared" si="0"/>
        <v>0.18376764386536373</v>
      </c>
      <c r="H8" s="23">
        <f t="shared" si="1"/>
        <v>677</v>
      </c>
      <c r="I8" s="12">
        <f t="shared" si="2"/>
        <v>0</v>
      </c>
      <c r="J8" s="39">
        <f t="shared" si="3"/>
        <v>0</v>
      </c>
    </row>
    <row r="9" spans="1:10" x14ac:dyDescent="0.25">
      <c r="A9" s="7" t="s">
        <v>30</v>
      </c>
      <c r="B9" s="7" t="s">
        <v>23</v>
      </c>
      <c r="C9" s="7">
        <v>34</v>
      </c>
      <c r="D9" s="11">
        <v>3528</v>
      </c>
      <c r="E9" s="8">
        <v>3262</v>
      </c>
      <c r="F9" s="8">
        <v>1664</v>
      </c>
      <c r="G9" s="38">
        <f t="shared" si="0"/>
        <v>-7.5396825396825393E-2</v>
      </c>
      <c r="H9" s="23">
        <f t="shared" si="1"/>
        <v>266</v>
      </c>
      <c r="I9" s="12">
        <f t="shared" si="2"/>
        <v>0</v>
      </c>
      <c r="J9" s="39">
        <f t="shared" si="3"/>
        <v>0</v>
      </c>
    </row>
    <row r="10" spans="1:10" x14ac:dyDescent="0.25">
      <c r="A10" s="7" t="s">
        <v>31</v>
      </c>
      <c r="B10" s="7" t="s">
        <v>23</v>
      </c>
      <c r="C10" s="7">
        <v>34</v>
      </c>
      <c r="D10" s="11">
        <v>2772</v>
      </c>
      <c r="E10" s="8">
        <v>2596</v>
      </c>
      <c r="F10" s="8">
        <v>1589</v>
      </c>
      <c r="G10" s="38">
        <f t="shared" si="0"/>
        <v>-6.3492063492063489E-2</v>
      </c>
      <c r="H10" s="23">
        <f t="shared" si="1"/>
        <v>176</v>
      </c>
      <c r="I10" s="12">
        <f t="shared" si="2"/>
        <v>0</v>
      </c>
      <c r="J10" s="39">
        <f t="shared" si="3"/>
        <v>0</v>
      </c>
    </row>
    <row r="11" spans="1:10" x14ac:dyDescent="0.25">
      <c r="A11" s="7" t="s">
        <v>32</v>
      </c>
      <c r="B11" s="7" t="s">
        <v>28</v>
      </c>
      <c r="C11" s="7">
        <v>34</v>
      </c>
      <c r="D11" s="11">
        <v>2424</v>
      </c>
      <c r="E11" s="8">
        <v>2607</v>
      </c>
      <c r="F11" s="8">
        <v>1407</v>
      </c>
      <c r="G11" s="38">
        <f t="shared" si="0"/>
        <v>7.5495049504950493E-2</v>
      </c>
      <c r="H11" s="23">
        <f t="shared" si="1"/>
        <v>183</v>
      </c>
      <c r="I11" s="12">
        <f t="shared" si="2"/>
        <v>0</v>
      </c>
      <c r="J11" s="39">
        <f t="shared" si="3"/>
        <v>0</v>
      </c>
    </row>
    <row r="12" spans="1:10" x14ac:dyDescent="0.25">
      <c r="A12" s="7" t="s">
        <v>33</v>
      </c>
      <c r="B12" s="7" t="s">
        <v>28</v>
      </c>
      <c r="C12" s="7">
        <v>34</v>
      </c>
      <c r="D12" s="11">
        <v>2136</v>
      </c>
      <c r="E12" s="8">
        <v>2902</v>
      </c>
      <c r="F12" s="8">
        <v>1357</v>
      </c>
      <c r="G12" s="38">
        <f t="shared" si="0"/>
        <v>0.35861423220973782</v>
      </c>
      <c r="H12" s="23">
        <f t="shared" si="1"/>
        <v>766</v>
      </c>
      <c r="I12" s="12">
        <f t="shared" si="2"/>
        <v>0</v>
      </c>
      <c r="J12" s="39">
        <f t="shared" si="3"/>
        <v>1</v>
      </c>
    </row>
    <row r="13" spans="1:10" x14ac:dyDescent="0.25">
      <c r="A13" s="7" t="s">
        <v>34</v>
      </c>
      <c r="B13" s="41" t="s">
        <v>35</v>
      </c>
      <c r="C13" s="7">
        <v>34</v>
      </c>
      <c r="D13" s="11">
        <v>1224</v>
      </c>
      <c r="E13" s="8">
        <v>1538</v>
      </c>
      <c r="F13" s="8">
        <v>1142</v>
      </c>
      <c r="G13" s="38">
        <f t="shared" si="0"/>
        <v>0.25653594771241828</v>
      </c>
      <c r="H13" s="23">
        <f t="shared" si="1"/>
        <v>314</v>
      </c>
      <c r="I13" s="12">
        <f t="shared" si="2"/>
        <v>0</v>
      </c>
      <c r="J13" s="39">
        <f t="shared" si="3"/>
        <v>1</v>
      </c>
    </row>
    <row r="14" spans="1:10" x14ac:dyDescent="0.25">
      <c r="A14" s="7" t="s">
        <v>36</v>
      </c>
      <c r="B14" s="41" t="s">
        <v>35</v>
      </c>
      <c r="C14" s="7">
        <v>34</v>
      </c>
      <c r="D14" s="11">
        <v>408</v>
      </c>
      <c r="E14" s="8">
        <v>499</v>
      </c>
      <c r="F14" s="8">
        <v>1025</v>
      </c>
      <c r="G14" s="38">
        <f t="shared" si="0"/>
        <v>0.22303921568627452</v>
      </c>
      <c r="H14" s="23">
        <f t="shared" si="1"/>
        <v>91</v>
      </c>
      <c r="I14" s="12">
        <f t="shared" si="2"/>
        <v>0</v>
      </c>
      <c r="J14" s="39">
        <f t="shared" si="3"/>
        <v>1</v>
      </c>
    </row>
    <row r="15" spans="1:10" x14ac:dyDescent="0.25">
      <c r="A15" s="7" t="s">
        <v>37</v>
      </c>
      <c r="B15" s="41" t="s">
        <v>25</v>
      </c>
      <c r="C15" s="7">
        <v>34</v>
      </c>
      <c r="D15" s="11">
        <v>2526</v>
      </c>
      <c r="E15" s="8">
        <v>2043</v>
      </c>
      <c r="F15" s="8">
        <v>1013</v>
      </c>
      <c r="G15" s="38">
        <f t="shared" si="0"/>
        <v>-0.19121140142517815</v>
      </c>
      <c r="H15" s="23">
        <f t="shared" si="1"/>
        <v>483</v>
      </c>
      <c r="I15" s="12">
        <f t="shared" si="2"/>
        <v>0</v>
      </c>
      <c r="J15" s="39">
        <f t="shared" si="3"/>
        <v>0</v>
      </c>
    </row>
    <row r="16" spans="1:10" x14ac:dyDescent="0.25">
      <c r="A16" s="7" t="s">
        <v>38</v>
      </c>
      <c r="B16" s="41" t="s">
        <v>39</v>
      </c>
      <c r="C16" s="7">
        <v>34</v>
      </c>
      <c r="D16" s="11">
        <v>960</v>
      </c>
      <c r="E16" s="8">
        <v>1403</v>
      </c>
      <c r="F16" s="8">
        <v>1003</v>
      </c>
      <c r="G16" s="38">
        <f t="shared" si="0"/>
        <v>0.46145833333333336</v>
      </c>
      <c r="H16" s="23">
        <f t="shared" si="1"/>
        <v>443</v>
      </c>
      <c r="I16" s="12">
        <f t="shared" si="2"/>
        <v>0</v>
      </c>
      <c r="J16" s="39">
        <f t="shared" si="3"/>
        <v>1</v>
      </c>
    </row>
    <row r="17" spans="1:10" x14ac:dyDescent="0.25">
      <c r="A17" s="7" t="s">
        <v>40</v>
      </c>
      <c r="B17" s="41" t="s">
        <v>41</v>
      </c>
      <c r="C17" s="7">
        <v>34</v>
      </c>
      <c r="D17" s="11">
        <v>2394</v>
      </c>
      <c r="E17" s="8">
        <v>1787</v>
      </c>
      <c r="F17" s="8">
        <v>964</v>
      </c>
      <c r="G17" s="38">
        <f t="shared" si="0"/>
        <v>-0.25355054302422725</v>
      </c>
      <c r="H17" s="23">
        <f t="shared" si="1"/>
        <v>607</v>
      </c>
      <c r="I17" s="12">
        <f t="shared" si="2"/>
        <v>0</v>
      </c>
      <c r="J17" s="39">
        <f t="shared" si="3"/>
        <v>0</v>
      </c>
    </row>
    <row r="18" spans="1:10" x14ac:dyDescent="0.25">
      <c r="A18" s="7" t="s">
        <v>42</v>
      </c>
      <c r="B18" s="41" t="s">
        <v>39</v>
      </c>
      <c r="C18" s="7">
        <v>34</v>
      </c>
      <c r="D18" s="11">
        <v>804</v>
      </c>
      <c r="E18" s="8">
        <v>1328</v>
      </c>
      <c r="F18" s="8">
        <v>945</v>
      </c>
      <c r="G18" s="38">
        <f t="shared" si="0"/>
        <v>0.65174129353233834</v>
      </c>
      <c r="H18" s="23">
        <f t="shared" si="1"/>
        <v>524</v>
      </c>
      <c r="I18" s="12">
        <f t="shared" si="2"/>
        <v>0</v>
      </c>
      <c r="J18" s="39">
        <f t="shared" si="3"/>
        <v>1</v>
      </c>
    </row>
    <row r="19" spans="1:10" x14ac:dyDescent="0.25">
      <c r="A19" s="7" t="s">
        <v>43</v>
      </c>
      <c r="B19" s="41" t="s">
        <v>35</v>
      </c>
      <c r="C19" s="7">
        <v>34</v>
      </c>
      <c r="D19" s="11">
        <v>1344</v>
      </c>
      <c r="E19" s="8">
        <v>1543</v>
      </c>
      <c r="F19" s="8">
        <v>890</v>
      </c>
      <c r="G19" s="38">
        <f t="shared" si="0"/>
        <v>0.14806547619047619</v>
      </c>
      <c r="H19" s="23">
        <f t="shared" si="1"/>
        <v>199</v>
      </c>
      <c r="I19" s="12">
        <f t="shared" si="2"/>
        <v>0</v>
      </c>
      <c r="J19" s="39">
        <f t="shared" si="3"/>
        <v>0</v>
      </c>
    </row>
    <row r="20" spans="1:10" x14ac:dyDescent="0.25">
      <c r="A20" s="7" t="s">
        <v>44</v>
      </c>
      <c r="B20" s="7" t="s">
        <v>41</v>
      </c>
      <c r="C20" s="7">
        <v>34</v>
      </c>
      <c r="D20" s="11">
        <v>1763</v>
      </c>
      <c r="E20" s="8">
        <v>1304</v>
      </c>
      <c r="F20" s="8">
        <v>874</v>
      </c>
      <c r="G20" s="38">
        <f t="shared" si="0"/>
        <v>-0.26035167328417469</v>
      </c>
      <c r="H20" s="23">
        <f t="shared" si="1"/>
        <v>459</v>
      </c>
      <c r="I20" s="12">
        <f t="shared" si="2"/>
        <v>0</v>
      </c>
      <c r="J20" s="39">
        <f t="shared" si="3"/>
        <v>0</v>
      </c>
    </row>
    <row r="21" spans="1:10" x14ac:dyDescent="0.25">
      <c r="A21" s="7" t="s">
        <v>45</v>
      </c>
      <c r="B21" s="7" t="s">
        <v>41</v>
      </c>
      <c r="C21" s="7">
        <v>34</v>
      </c>
      <c r="D21" s="11">
        <v>1626</v>
      </c>
      <c r="E21" s="8">
        <v>1349</v>
      </c>
      <c r="F21" s="8">
        <v>834</v>
      </c>
      <c r="G21" s="38">
        <f t="shared" si="0"/>
        <v>-0.17035670356703567</v>
      </c>
      <c r="H21" s="23">
        <f t="shared" si="1"/>
        <v>277</v>
      </c>
      <c r="I21" s="12">
        <f t="shared" si="2"/>
        <v>0</v>
      </c>
      <c r="J21" s="39">
        <f t="shared" si="3"/>
        <v>0</v>
      </c>
    </row>
    <row r="22" spans="1:10" x14ac:dyDescent="0.25">
      <c r="A22" s="7" t="s">
        <v>46</v>
      </c>
      <c r="B22" s="7" t="s">
        <v>47</v>
      </c>
      <c r="C22" s="7">
        <v>34</v>
      </c>
      <c r="D22" s="11">
        <v>270</v>
      </c>
      <c r="E22" s="8">
        <v>255</v>
      </c>
      <c r="F22" s="8">
        <v>586.82100000000003</v>
      </c>
      <c r="G22" s="38">
        <f t="shared" si="0"/>
        <v>-5.5555555555555552E-2</v>
      </c>
      <c r="H22" s="23">
        <f t="shared" si="1"/>
        <v>15</v>
      </c>
      <c r="I22" s="12">
        <f t="shared" si="2"/>
        <v>0</v>
      </c>
      <c r="J22" s="39">
        <f t="shared" si="3"/>
        <v>0</v>
      </c>
    </row>
    <row r="23" spans="1:10" x14ac:dyDescent="0.25">
      <c r="A23" s="7" t="s">
        <v>48</v>
      </c>
      <c r="B23" s="7" t="s">
        <v>41</v>
      </c>
      <c r="C23" s="7">
        <v>34</v>
      </c>
      <c r="D23" s="11">
        <v>1104</v>
      </c>
      <c r="E23" s="8">
        <v>960</v>
      </c>
      <c r="F23" s="8">
        <v>541</v>
      </c>
      <c r="G23" s="38">
        <f t="shared" si="0"/>
        <v>-0.13043478260869565</v>
      </c>
      <c r="H23" s="23">
        <f t="shared" si="1"/>
        <v>144</v>
      </c>
      <c r="I23" s="12">
        <f t="shared" si="2"/>
        <v>0</v>
      </c>
      <c r="J23" s="39">
        <f t="shared" si="3"/>
        <v>0</v>
      </c>
    </row>
    <row r="24" spans="1:10" x14ac:dyDescent="0.25">
      <c r="A24" s="7" t="s">
        <v>49</v>
      </c>
      <c r="B24" s="7" t="s">
        <v>50</v>
      </c>
      <c r="C24" s="7">
        <v>34</v>
      </c>
      <c r="D24" s="11">
        <v>980</v>
      </c>
      <c r="E24" s="8">
        <v>727</v>
      </c>
      <c r="F24" s="8">
        <v>489</v>
      </c>
      <c r="G24" s="38">
        <f t="shared" si="0"/>
        <v>-0.25816326530612244</v>
      </c>
      <c r="H24" s="23">
        <f t="shared" si="1"/>
        <v>253</v>
      </c>
      <c r="I24" s="12">
        <f t="shared" si="2"/>
        <v>0</v>
      </c>
      <c r="J24" s="39">
        <f t="shared" si="3"/>
        <v>0</v>
      </c>
    </row>
    <row r="25" spans="1:10" x14ac:dyDescent="0.25">
      <c r="A25" s="7" t="s">
        <v>51</v>
      </c>
      <c r="B25" s="7" t="s">
        <v>52</v>
      </c>
      <c r="C25" s="7">
        <v>34</v>
      </c>
      <c r="D25" s="11">
        <v>1554</v>
      </c>
      <c r="E25" s="8">
        <v>2050</v>
      </c>
      <c r="F25" s="8">
        <v>301</v>
      </c>
      <c r="G25" s="38">
        <f t="shared" si="0"/>
        <v>0.31917631917631917</v>
      </c>
      <c r="H25" s="23">
        <f t="shared" si="1"/>
        <v>496</v>
      </c>
      <c r="I25" s="12">
        <f t="shared" si="2"/>
        <v>0</v>
      </c>
      <c r="J25" s="39">
        <f t="shared" si="3"/>
        <v>1</v>
      </c>
    </row>
    <row r="26" spans="1:10" x14ac:dyDescent="0.25">
      <c r="A26" s="7" t="s">
        <v>53</v>
      </c>
      <c r="B26" s="7" t="s">
        <v>54</v>
      </c>
      <c r="C26" s="7">
        <v>34</v>
      </c>
      <c r="D26" s="11">
        <v>456</v>
      </c>
      <c r="E26" s="8">
        <v>384</v>
      </c>
      <c r="F26" s="8">
        <v>189</v>
      </c>
      <c r="G26" s="38">
        <f t="shared" si="0"/>
        <v>-0.15789473684210525</v>
      </c>
      <c r="H26" s="23">
        <f t="shared" si="1"/>
        <v>72</v>
      </c>
      <c r="I26" s="12">
        <f t="shared" si="2"/>
        <v>0</v>
      </c>
      <c r="J26" s="39">
        <f t="shared" si="3"/>
        <v>0</v>
      </c>
    </row>
    <row r="27" spans="1:10" x14ac:dyDescent="0.25">
      <c r="J27" s="24"/>
    </row>
    <row r="28" spans="1:10" x14ac:dyDescent="0.25">
      <c r="J28" s="24"/>
    </row>
    <row r="29" spans="1:10" x14ac:dyDescent="0.25">
      <c r="J29" s="23"/>
    </row>
    <row r="30" spans="1:10" x14ac:dyDescent="0.25">
      <c r="A30" s="13" t="s">
        <v>96</v>
      </c>
    </row>
    <row r="32" spans="1:10" x14ac:dyDescent="0.25">
      <c r="A32" s="15" t="s">
        <v>19</v>
      </c>
      <c r="B32" s="14" t="s">
        <v>116</v>
      </c>
      <c r="C32" s="15" t="s">
        <v>20</v>
      </c>
      <c r="D32" s="15" t="s">
        <v>117</v>
      </c>
      <c r="E32" s="15" t="s">
        <v>119</v>
      </c>
      <c r="F32" s="15" t="s">
        <v>118</v>
      </c>
      <c r="G32" s="16" t="s">
        <v>120</v>
      </c>
      <c r="H32" s="16" t="s">
        <v>121</v>
      </c>
    </row>
    <row r="35" spans="1:8" x14ac:dyDescent="0.25">
      <c r="A35" s="35" t="s">
        <v>132</v>
      </c>
      <c r="B35" s="12" t="s">
        <v>137</v>
      </c>
      <c r="C35" s="12" t="s">
        <v>138</v>
      </c>
      <c r="D35" s="12" t="s">
        <v>139</v>
      </c>
      <c r="E35" s="12" t="s">
        <v>140</v>
      </c>
      <c r="F35" s="12" t="s">
        <v>118</v>
      </c>
      <c r="G35" s="12" t="s">
        <v>120</v>
      </c>
      <c r="H35" s="12" t="s">
        <v>121</v>
      </c>
    </row>
    <row r="36" spans="1:8" x14ac:dyDescent="0.25">
      <c r="A36" s="36" t="s">
        <v>35</v>
      </c>
      <c r="B36" s="37">
        <v>2976</v>
      </c>
      <c r="C36" s="37">
        <v>3580</v>
      </c>
      <c r="D36" s="40">
        <v>0.20295698924731181</v>
      </c>
      <c r="E36" s="40">
        <v>0.16871508379888267</v>
      </c>
      <c r="F36" s="37">
        <v>3</v>
      </c>
      <c r="G36" s="37">
        <v>0</v>
      </c>
      <c r="H36" s="37">
        <v>2</v>
      </c>
    </row>
    <row r="37" spans="1:8" x14ac:dyDescent="0.25">
      <c r="A37" s="36" t="s">
        <v>47</v>
      </c>
      <c r="B37" s="37">
        <v>270</v>
      </c>
      <c r="C37" s="37">
        <v>255</v>
      </c>
      <c r="D37" s="40">
        <v>-5.5555555555555552E-2</v>
      </c>
      <c r="E37" s="40">
        <v>5.8823529411764705E-2</v>
      </c>
      <c r="F37" s="37">
        <v>1</v>
      </c>
      <c r="G37" s="37">
        <v>0</v>
      </c>
      <c r="H37" s="37">
        <v>0</v>
      </c>
    </row>
    <row r="38" spans="1:8" x14ac:dyDescent="0.25">
      <c r="A38" s="36" t="s">
        <v>52</v>
      </c>
      <c r="B38" s="37">
        <v>1554</v>
      </c>
      <c r="C38" s="37">
        <v>2050</v>
      </c>
      <c r="D38" s="40">
        <v>0.31917631917631917</v>
      </c>
      <c r="E38" s="40">
        <v>0.24195121951219511</v>
      </c>
      <c r="F38" s="37">
        <v>1</v>
      </c>
      <c r="G38" s="37">
        <v>0</v>
      </c>
      <c r="H38" s="37">
        <v>1</v>
      </c>
    </row>
    <row r="39" spans="1:8" x14ac:dyDescent="0.25">
      <c r="A39" s="36" t="s">
        <v>28</v>
      </c>
      <c r="B39" s="37">
        <v>11496</v>
      </c>
      <c r="C39" s="37">
        <v>13432</v>
      </c>
      <c r="D39" s="40">
        <v>0.16840640222686151</v>
      </c>
      <c r="E39" s="40">
        <v>0.14413341274568195</v>
      </c>
      <c r="F39" s="37">
        <v>4</v>
      </c>
      <c r="G39" s="37">
        <v>0</v>
      </c>
      <c r="H39" s="37">
        <v>1</v>
      </c>
    </row>
    <row r="40" spans="1:8" x14ac:dyDescent="0.25">
      <c r="A40" s="36" t="s">
        <v>23</v>
      </c>
      <c r="B40" s="37">
        <v>14616</v>
      </c>
      <c r="C40" s="37">
        <v>13309</v>
      </c>
      <c r="D40" s="40">
        <v>-8.9422550629447178E-2</v>
      </c>
      <c r="E40" s="40">
        <v>9.8204222706439248E-2</v>
      </c>
      <c r="F40" s="37">
        <v>4</v>
      </c>
      <c r="G40" s="37">
        <v>0</v>
      </c>
      <c r="H40" s="37">
        <v>0</v>
      </c>
    </row>
    <row r="41" spans="1:8" x14ac:dyDescent="0.25">
      <c r="A41" s="36" t="s">
        <v>39</v>
      </c>
      <c r="B41" s="37">
        <v>1764</v>
      </c>
      <c r="C41" s="37">
        <v>2731</v>
      </c>
      <c r="D41" s="40">
        <v>0.54818594104308394</v>
      </c>
      <c r="E41" s="40">
        <v>0.35408275357012081</v>
      </c>
      <c r="F41" s="37">
        <v>2</v>
      </c>
      <c r="G41" s="37">
        <v>0</v>
      </c>
      <c r="H41" s="37">
        <v>2</v>
      </c>
    </row>
    <row r="42" spans="1:8" x14ac:dyDescent="0.25">
      <c r="A42" s="36" t="s">
        <v>50</v>
      </c>
      <c r="B42" s="37">
        <v>980</v>
      </c>
      <c r="C42" s="37">
        <v>727</v>
      </c>
      <c r="D42" s="40">
        <v>-0.25816326530612244</v>
      </c>
      <c r="E42" s="40">
        <v>0.34800550206327374</v>
      </c>
      <c r="F42" s="37">
        <v>1</v>
      </c>
      <c r="G42" s="37">
        <v>0</v>
      </c>
      <c r="H42" s="37">
        <v>0</v>
      </c>
    </row>
    <row r="43" spans="1:8" x14ac:dyDescent="0.25">
      <c r="A43" s="36" t="s">
        <v>25</v>
      </c>
      <c r="B43" s="37">
        <v>5988</v>
      </c>
      <c r="C43" s="37">
        <v>4763</v>
      </c>
      <c r="D43" s="40">
        <v>-0.2045758183032732</v>
      </c>
      <c r="E43" s="40">
        <v>0.25719084610539578</v>
      </c>
      <c r="F43" s="37">
        <v>2</v>
      </c>
      <c r="G43" s="37">
        <v>0</v>
      </c>
      <c r="H43" s="37">
        <v>0</v>
      </c>
    </row>
    <row r="44" spans="1:8" x14ac:dyDescent="0.25">
      <c r="A44" s="36" t="s">
        <v>41</v>
      </c>
      <c r="B44" s="37">
        <v>6887</v>
      </c>
      <c r="C44" s="37">
        <v>5400</v>
      </c>
      <c r="D44" s="40">
        <v>-0.21591404094671118</v>
      </c>
      <c r="E44" s="40">
        <v>0.27537037037037038</v>
      </c>
      <c r="F44" s="37">
        <v>4</v>
      </c>
      <c r="G44" s="37">
        <v>0</v>
      </c>
      <c r="H44" s="37">
        <v>0</v>
      </c>
    </row>
    <row r="45" spans="1:8" x14ac:dyDescent="0.25">
      <c r="A45" s="36" t="s">
        <v>54</v>
      </c>
      <c r="B45" s="37">
        <v>456</v>
      </c>
      <c r="C45" s="37">
        <v>384</v>
      </c>
      <c r="D45" s="40">
        <v>-0.15789473684210525</v>
      </c>
      <c r="E45" s="40">
        <v>0.1875</v>
      </c>
      <c r="F45" s="37">
        <v>1</v>
      </c>
      <c r="G45" s="37">
        <v>0</v>
      </c>
      <c r="H45" s="37">
        <v>0</v>
      </c>
    </row>
    <row r="46" spans="1:8" x14ac:dyDescent="0.25">
      <c r="A46"/>
      <c r="B46"/>
      <c r="C46"/>
    </row>
    <row r="47" spans="1:8" x14ac:dyDescent="0.25">
      <c r="A47"/>
      <c r="B47"/>
      <c r="C47"/>
    </row>
    <row r="48" spans="1:8" x14ac:dyDescent="0.25">
      <c r="A48" s="13" t="s">
        <v>125</v>
      </c>
    </row>
    <row r="49" spans="1:8" x14ac:dyDescent="0.25">
      <c r="A49" s="43" t="s">
        <v>141</v>
      </c>
      <c r="B49" s="44"/>
      <c r="C49" s="44"/>
      <c r="D49" s="44"/>
      <c r="E49" s="44"/>
      <c r="F49" s="44"/>
      <c r="G49" s="44"/>
      <c r="H49" s="45"/>
    </row>
    <row r="50" spans="1:8" x14ac:dyDescent="0.25">
      <c r="A50" s="44"/>
      <c r="B50" s="44"/>
      <c r="C50" s="44"/>
      <c r="D50" s="44"/>
      <c r="E50" s="44"/>
      <c r="F50" s="44"/>
      <c r="G50" s="44"/>
      <c r="H50" s="45"/>
    </row>
    <row r="51" spans="1:8" x14ac:dyDescent="0.25">
      <c r="A51" s="44"/>
      <c r="B51" s="44"/>
      <c r="C51" s="44"/>
      <c r="D51" s="44"/>
      <c r="E51" s="44"/>
      <c r="F51" s="44"/>
      <c r="G51" s="44"/>
      <c r="H51" s="45"/>
    </row>
    <row r="52" spans="1:8" x14ac:dyDescent="0.25">
      <c r="A52" s="44"/>
      <c r="B52" s="44"/>
      <c r="C52" s="44"/>
      <c r="D52" s="44"/>
      <c r="E52" s="44"/>
      <c r="F52" s="44"/>
      <c r="G52" s="44"/>
      <c r="H52" s="45"/>
    </row>
    <row r="53" spans="1:8" x14ac:dyDescent="0.25">
      <c r="A53" s="44"/>
      <c r="B53" s="44"/>
      <c r="C53" s="44"/>
      <c r="D53" s="44"/>
      <c r="E53" s="44"/>
      <c r="F53" s="44"/>
      <c r="G53" s="44"/>
      <c r="H53" s="45"/>
    </row>
    <row r="54" spans="1:8" x14ac:dyDescent="0.25">
      <c r="A54" s="44"/>
      <c r="B54" s="44"/>
      <c r="C54" s="44"/>
      <c r="D54" s="44"/>
      <c r="E54" s="44"/>
      <c r="F54" s="44"/>
      <c r="G54" s="44"/>
      <c r="H54" s="45"/>
    </row>
    <row r="55" spans="1:8" x14ac:dyDescent="0.25">
      <c r="A55" s="44"/>
      <c r="B55" s="44"/>
      <c r="C55" s="44"/>
      <c r="D55" s="44"/>
      <c r="E55" s="44"/>
      <c r="F55" s="44"/>
      <c r="G55" s="44"/>
      <c r="H55" s="45"/>
    </row>
    <row r="56" spans="1:8" x14ac:dyDescent="0.25">
      <c r="A56" s="44"/>
      <c r="B56" s="44"/>
      <c r="C56" s="44"/>
      <c r="D56" s="44"/>
      <c r="E56" s="44"/>
      <c r="F56" s="44"/>
      <c r="G56" s="44"/>
      <c r="H56" s="45"/>
    </row>
    <row r="57" spans="1:8" x14ac:dyDescent="0.25">
      <c r="A57" s="45"/>
      <c r="B57" s="45"/>
      <c r="C57" s="45"/>
      <c r="D57" s="45"/>
      <c r="E57" s="45"/>
      <c r="F57" s="45"/>
      <c r="G57" s="45"/>
      <c r="H57" s="45"/>
    </row>
    <row r="58" spans="1:8" x14ac:dyDescent="0.25">
      <c r="A58" s="45"/>
      <c r="B58" s="45"/>
      <c r="C58" s="45"/>
      <c r="D58" s="45"/>
      <c r="E58" s="45"/>
      <c r="F58" s="45"/>
      <c r="G58" s="45"/>
      <c r="H58" s="45"/>
    </row>
    <row r="59" spans="1:8" x14ac:dyDescent="0.25">
      <c r="A59" s="45"/>
      <c r="B59" s="45"/>
      <c r="C59" s="45"/>
      <c r="D59" s="45"/>
      <c r="E59" s="45"/>
      <c r="F59" s="45"/>
      <c r="G59" s="45"/>
      <c r="H59" s="45"/>
    </row>
    <row r="60" spans="1:8" x14ac:dyDescent="0.25">
      <c r="A60" s="45"/>
      <c r="B60" s="45"/>
      <c r="C60" s="45"/>
      <c r="D60" s="45"/>
      <c r="E60" s="45"/>
      <c r="F60" s="45"/>
      <c r="G60" s="45"/>
      <c r="H60" s="45"/>
    </row>
    <row r="61" spans="1:8" x14ac:dyDescent="0.25">
      <c r="A61" s="45"/>
      <c r="B61" s="45"/>
      <c r="C61" s="45"/>
      <c r="D61" s="45"/>
      <c r="E61" s="45"/>
      <c r="F61" s="45"/>
      <c r="G61" s="45"/>
      <c r="H61" s="45"/>
    </row>
    <row r="62" spans="1:8" x14ac:dyDescent="0.25">
      <c r="A62" s="45"/>
      <c r="B62" s="45"/>
      <c r="C62" s="45"/>
      <c r="D62" s="45"/>
      <c r="E62" s="45"/>
      <c r="F62" s="45"/>
      <c r="G62" s="45"/>
      <c r="H62" s="45"/>
    </row>
    <row r="63" spans="1:8" x14ac:dyDescent="0.25">
      <c r="A63" s="45"/>
      <c r="B63" s="45"/>
      <c r="C63" s="45"/>
      <c r="D63" s="45"/>
      <c r="E63" s="45"/>
      <c r="F63" s="45"/>
      <c r="G63" s="45"/>
      <c r="H63" s="45"/>
    </row>
  </sheetData>
  <mergeCells count="1">
    <mergeCell ref="A49:H63"/>
  </mergeCells>
  <pageMargins left="0.7" right="0.7" top="0.75" bottom="0.75" header="0.3" footer="0.3"/>
  <pageSetup paperSize="9" orientation="portrait"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32"/>
  <sheetViews>
    <sheetView topLeftCell="A13" workbookViewId="0">
      <selection activeCell="F32" sqref="A32:F32"/>
    </sheetView>
  </sheetViews>
  <sheetFormatPr defaultRowHeight="15" x14ac:dyDescent="0.25"/>
  <cols>
    <col min="1" max="5" width="13.28515625" customWidth="1"/>
    <col min="8" max="8" width="12.85546875" customWidth="1"/>
    <col min="9" max="9" width="11.140625" customWidth="1"/>
  </cols>
  <sheetData>
    <row r="1" spans="1:11" ht="16.5" x14ac:dyDescent="0.25">
      <c r="A1" s="6" t="s">
        <v>55</v>
      </c>
      <c r="B1" s="3"/>
      <c r="C1" s="3"/>
      <c r="D1" s="1"/>
      <c r="E1" s="1"/>
    </row>
    <row r="2" spans="1:11" ht="16.5" x14ac:dyDescent="0.25">
      <c r="A2" s="2" t="s">
        <v>0</v>
      </c>
      <c r="B2" s="29"/>
      <c r="C2" s="29"/>
      <c r="D2" s="1"/>
      <c r="E2" s="1"/>
      <c r="H2" s="2" t="s">
        <v>127</v>
      </c>
      <c r="I2" s="1"/>
    </row>
    <row r="3" spans="1:11" ht="33" x14ac:dyDescent="0.25">
      <c r="A3" s="25" t="s">
        <v>1</v>
      </c>
      <c r="B3" s="25" t="s">
        <v>2</v>
      </c>
      <c r="C3" s="25" t="s">
        <v>3</v>
      </c>
      <c r="D3" s="25" t="s">
        <v>4</v>
      </c>
      <c r="E3" s="25" t="s">
        <v>5</v>
      </c>
      <c r="H3" s="25" t="s">
        <v>2</v>
      </c>
      <c r="I3" s="26" t="s">
        <v>133</v>
      </c>
      <c r="J3" s="25" t="s">
        <v>3</v>
      </c>
      <c r="K3" s="26" t="s">
        <v>128</v>
      </c>
    </row>
    <row r="4" spans="1:11" ht="16.5" x14ac:dyDescent="0.25">
      <c r="A4" s="25">
        <v>1</v>
      </c>
      <c r="B4" s="27">
        <v>40544</v>
      </c>
      <c r="C4" s="25">
        <v>943</v>
      </c>
      <c r="D4" s="25">
        <v>55</v>
      </c>
      <c r="E4" s="25">
        <v>500</v>
      </c>
      <c r="H4" s="27">
        <v>40545</v>
      </c>
      <c r="I4" s="28">
        <v>1</v>
      </c>
      <c r="J4" s="25">
        <v>1543</v>
      </c>
      <c r="K4" s="28">
        <v>26</v>
      </c>
    </row>
    <row r="5" spans="1:11" ht="16.5" x14ac:dyDescent="0.25">
      <c r="A5" s="25">
        <v>2</v>
      </c>
      <c r="B5" s="27">
        <v>40545</v>
      </c>
      <c r="C5" s="25">
        <v>1543</v>
      </c>
      <c r="D5" s="25">
        <v>45</v>
      </c>
      <c r="E5" s="25">
        <v>450</v>
      </c>
      <c r="H5" s="27">
        <v>40545</v>
      </c>
      <c r="I5" s="28">
        <v>6</v>
      </c>
      <c r="J5" s="25">
        <v>1543</v>
      </c>
      <c r="K5" s="28">
        <v>6</v>
      </c>
    </row>
    <row r="6" spans="1:11" ht="16.5" x14ac:dyDescent="0.25">
      <c r="A6" s="25">
        <v>3</v>
      </c>
      <c r="B6" s="27">
        <v>40544</v>
      </c>
      <c r="C6" s="25">
        <v>234</v>
      </c>
      <c r="D6" s="25">
        <v>30</v>
      </c>
      <c r="E6" s="25">
        <v>300</v>
      </c>
      <c r="H6" s="27">
        <v>40545</v>
      </c>
      <c r="I6" s="28">
        <v>8</v>
      </c>
      <c r="J6" s="25">
        <v>1543</v>
      </c>
      <c r="K6" s="28">
        <v>10</v>
      </c>
    </row>
    <row r="7" spans="1:11" ht="16.5" x14ac:dyDescent="0.25">
      <c r="A7" s="25">
        <v>4</v>
      </c>
      <c r="B7" s="27">
        <v>40546</v>
      </c>
      <c r="C7" s="25">
        <v>876</v>
      </c>
      <c r="D7" s="25">
        <v>30</v>
      </c>
      <c r="E7" s="25">
        <v>300</v>
      </c>
      <c r="H7" s="12"/>
      <c r="I7" s="12"/>
      <c r="J7" s="12"/>
      <c r="K7" s="12"/>
    </row>
    <row r="8" spans="1:11" s="12" customFormat="1" ht="16.5" x14ac:dyDescent="0.25">
      <c r="A8" s="20"/>
      <c r="B8" s="21"/>
      <c r="C8" s="20"/>
      <c r="D8" s="20"/>
      <c r="E8" s="20"/>
    </row>
    <row r="9" spans="1:11" ht="16.5" x14ac:dyDescent="0.25">
      <c r="A9" s="2" t="s">
        <v>6</v>
      </c>
      <c r="B9" s="1"/>
      <c r="C9" s="1"/>
      <c r="D9" s="1"/>
      <c r="E9" s="1"/>
      <c r="H9" s="12"/>
      <c r="I9" s="12"/>
    </row>
    <row r="10" spans="1:11" ht="33" x14ac:dyDescent="0.25">
      <c r="A10" s="26" t="s">
        <v>1</v>
      </c>
      <c r="B10" s="26" t="s">
        <v>7</v>
      </c>
      <c r="C10" s="26" t="s">
        <v>8</v>
      </c>
      <c r="D10" s="26" t="s">
        <v>9</v>
      </c>
      <c r="E10" s="1"/>
    </row>
    <row r="11" spans="1:11" ht="16.5" x14ac:dyDescent="0.25">
      <c r="A11" s="28">
        <v>1</v>
      </c>
      <c r="B11" s="28">
        <v>1</v>
      </c>
      <c r="C11" s="28">
        <v>10</v>
      </c>
      <c r="D11" s="28">
        <v>100</v>
      </c>
      <c r="E11" s="1"/>
    </row>
    <row r="12" spans="1:11" ht="16.5" x14ac:dyDescent="0.25">
      <c r="A12" s="28">
        <v>1</v>
      </c>
      <c r="B12" s="28">
        <v>6</v>
      </c>
      <c r="C12" s="28">
        <v>15</v>
      </c>
      <c r="D12" s="28">
        <v>300</v>
      </c>
      <c r="E12" s="1"/>
    </row>
    <row r="13" spans="1:11" ht="16.5" x14ac:dyDescent="0.25">
      <c r="A13" s="28">
        <v>1</v>
      </c>
      <c r="B13" s="28">
        <v>8</v>
      </c>
      <c r="C13" s="28">
        <v>20</v>
      </c>
      <c r="D13" s="28">
        <v>100</v>
      </c>
      <c r="E13" s="1"/>
    </row>
    <row r="14" spans="1:11" ht="16.5" x14ac:dyDescent="0.25">
      <c r="A14" s="28">
        <v>2</v>
      </c>
      <c r="B14" s="28">
        <v>1</v>
      </c>
      <c r="C14" s="28">
        <v>30</v>
      </c>
      <c r="D14" s="28">
        <v>300</v>
      </c>
      <c r="E14" s="1"/>
    </row>
    <row r="15" spans="1:11" ht="16.5" x14ac:dyDescent="0.25">
      <c r="A15" s="28">
        <v>2</v>
      </c>
      <c r="B15" s="28">
        <v>6</v>
      </c>
      <c r="C15" s="28">
        <v>5</v>
      </c>
      <c r="D15" s="28">
        <v>100</v>
      </c>
      <c r="E15" s="1"/>
    </row>
    <row r="16" spans="1:11" ht="16.5" x14ac:dyDescent="0.25">
      <c r="A16" s="28">
        <v>2</v>
      </c>
      <c r="B16" s="28">
        <v>8</v>
      </c>
      <c r="C16" s="28">
        <v>10</v>
      </c>
      <c r="D16" s="28">
        <v>50</v>
      </c>
      <c r="E16" s="1"/>
    </row>
    <row r="17" spans="1:6" ht="16.5" x14ac:dyDescent="0.25">
      <c r="A17" s="28">
        <v>3</v>
      </c>
      <c r="B17" s="28">
        <v>1</v>
      </c>
      <c r="C17" s="28">
        <v>10</v>
      </c>
      <c r="D17" s="28">
        <v>100</v>
      </c>
      <c r="E17" s="1"/>
    </row>
    <row r="18" spans="1:6" ht="16.5" x14ac:dyDescent="0.25">
      <c r="A18" s="28">
        <v>3</v>
      </c>
      <c r="B18" s="28">
        <v>6</v>
      </c>
      <c r="C18" s="28">
        <v>10</v>
      </c>
      <c r="D18" s="28">
        <v>200</v>
      </c>
      <c r="E18" s="1"/>
      <c r="F18" s="1"/>
    </row>
    <row r="20" spans="1:6" ht="16.5" x14ac:dyDescent="0.25">
      <c r="A20" s="2" t="s">
        <v>10</v>
      </c>
      <c r="B20" s="1"/>
      <c r="C20" s="1"/>
      <c r="D20" s="1"/>
      <c r="E20" s="1"/>
      <c r="F20" s="1"/>
    </row>
    <row r="21" spans="1:6" ht="16.5" x14ac:dyDescent="0.25">
      <c r="A21" s="25" t="s">
        <v>7</v>
      </c>
      <c r="B21" s="25" t="s">
        <v>11</v>
      </c>
      <c r="C21" s="1"/>
      <c r="D21" s="1"/>
      <c r="E21" s="1"/>
      <c r="F21" s="1"/>
    </row>
    <row r="22" spans="1:6" ht="16.5" x14ac:dyDescent="0.25">
      <c r="A22" s="30">
        <v>1</v>
      </c>
      <c r="B22" s="25" t="s">
        <v>12</v>
      </c>
      <c r="C22" s="1"/>
      <c r="D22" s="1"/>
      <c r="E22" s="1"/>
      <c r="F22" s="1"/>
    </row>
    <row r="23" spans="1:6" ht="16.5" x14ac:dyDescent="0.25">
      <c r="A23" s="30">
        <v>5</v>
      </c>
      <c r="B23" s="25" t="s">
        <v>13</v>
      </c>
      <c r="C23" s="1"/>
      <c r="D23" s="1"/>
      <c r="E23" s="1"/>
      <c r="F23" s="1"/>
    </row>
    <row r="24" spans="1:6" ht="16.5" x14ac:dyDescent="0.25">
      <c r="A24" s="30">
        <v>7</v>
      </c>
      <c r="B24" s="25" t="s">
        <v>14</v>
      </c>
      <c r="C24" s="1"/>
      <c r="D24" s="1"/>
      <c r="E24" s="1"/>
      <c r="F24" s="1"/>
    </row>
    <row r="25" spans="1:6" ht="16.5" x14ac:dyDescent="0.25">
      <c r="A25" s="30">
        <v>6</v>
      </c>
      <c r="B25" s="25" t="s">
        <v>15</v>
      </c>
      <c r="C25" s="1"/>
      <c r="D25" s="1"/>
      <c r="E25" s="1"/>
      <c r="F25" s="1"/>
    </row>
    <row r="26" spans="1:6" ht="16.5" x14ac:dyDescent="0.25">
      <c r="A26" s="30">
        <v>8</v>
      </c>
      <c r="B26" s="25" t="s">
        <v>16</v>
      </c>
      <c r="C26" s="1"/>
      <c r="D26" s="1"/>
      <c r="E26" s="1"/>
      <c r="F26" s="1"/>
    </row>
    <row r="28" spans="1:6" ht="16.5" x14ac:dyDescent="0.25">
      <c r="A28" s="4" t="s">
        <v>17</v>
      </c>
      <c r="B28" s="5"/>
      <c r="C28" s="5"/>
      <c r="D28" s="5"/>
      <c r="E28" s="5"/>
      <c r="F28" s="5"/>
    </row>
    <row r="29" spans="1:6" ht="16.5" x14ac:dyDescent="0.25">
      <c r="A29" s="31" t="s">
        <v>130</v>
      </c>
      <c r="B29" s="5"/>
      <c r="C29" s="5"/>
      <c r="D29" s="5"/>
      <c r="E29" s="5"/>
      <c r="F29" s="5"/>
    </row>
    <row r="30" spans="1:6" ht="16.5" x14ac:dyDescent="0.25">
      <c r="A30" s="31" t="s">
        <v>131</v>
      </c>
      <c r="B30" s="5"/>
      <c r="C30" s="5"/>
      <c r="D30" s="5"/>
      <c r="E30" s="5"/>
      <c r="F30" s="5"/>
    </row>
    <row r="31" spans="1:6" s="12" customFormat="1" ht="16.5" x14ac:dyDescent="0.25">
      <c r="A31" s="31" t="s">
        <v>126</v>
      </c>
      <c r="B31" s="5"/>
      <c r="C31" s="5"/>
      <c r="D31" s="5"/>
      <c r="E31" s="5"/>
      <c r="F31" s="5"/>
    </row>
    <row r="32" spans="1:6" ht="16.5" x14ac:dyDescent="0.25">
      <c r="A32" s="32" t="s">
        <v>129</v>
      </c>
    </row>
  </sheetData>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82"/>
  <sheetViews>
    <sheetView topLeftCell="A49" workbookViewId="0">
      <selection activeCell="G94" sqref="G94"/>
    </sheetView>
  </sheetViews>
  <sheetFormatPr defaultRowHeight="15" x14ac:dyDescent="0.25"/>
  <sheetData>
    <row r="1" spans="1:9" x14ac:dyDescent="0.25">
      <c r="A1" s="19" t="s">
        <v>61</v>
      </c>
    </row>
    <row r="2" spans="1:9" x14ac:dyDescent="0.25">
      <c r="A2" s="17" t="s">
        <v>56</v>
      </c>
    </row>
    <row r="3" spans="1:9" x14ac:dyDescent="0.25">
      <c r="A3" s="17" t="s">
        <v>95</v>
      </c>
    </row>
    <row r="4" spans="1:9" x14ac:dyDescent="0.25">
      <c r="A4" s="17" t="s">
        <v>57</v>
      </c>
    </row>
    <row r="5" spans="1:9" ht="15.75" x14ac:dyDescent="0.25">
      <c r="A5" s="33" t="s">
        <v>58</v>
      </c>
      <c r="B5" s="34"/>
      <c r="C5" s="34"/>
      <c r="D5" s="34"/>
    </row>
    <row r="6" spans="1:9" ht="15.75" x14ac:dyDescent="0.25">
      <c r="A6" s="18" t="s">
        <v>82</v>
      </c>
    </row>
    <row r="7" spans="1:9" ht="15.75" x14ac:dyDescent="0.25">
      <c r="A7" s="18" t="s">
        <v>59</v>
      </c>
    </row>
    <row r="8" spans="1:9" ht="15.75" x14ac:dyDescent="0.25">
      <c r="A8" s="18" t="s">
        <v>60</v>
      </c>
    </row>
    <row r="11" spans="1:9" x14ac:dyDescent="0.25">
      <c r="A11" s="19" t="s">
        <v>83</v>
      </c>
    </row>
    <row r="12" spans="1:9" x14ac:dyDescent="0.25">
      <c r="A12" s="19" t="s">
        <v>62</v>
      </c>
    </row>
    <row r="13" spans="1:9" ht="15.75" x14ac:dyDescent="0.25">
      <c r="A13" s="33" t="s">
        <v>66</v>
      </c>
      <c r="B13" s="34"/>
      <c r="C13" s="34"/>
      <c r="D13" s="34"/>
      <c r="E13" s="34"/>
      <c r="F13" s="34"/>
      <c r="G13" s="34"/>
      <c r="H13" s="34"/>
      <c r="I13" s="34"/>
    </row>
    <row r="14" spans="1:9" ht="15.75" x14ac:dyDescent="0.25">
      <c r="A14" s="18" t="s">
        <v>63</v>
      </c>
    </row>
    <row r="15" spans="1:9" ht="15.75" x14ac:dyDescent="0.25">
      <c r="A15" s="18" t="s">
        <v>64</v>
      </c>
    </row>
    <row r="16" spans="1:9" ht="15.75" x14ac:dyDescent="0.25">
      <c r="A16" s="18" t="s">
        <v>65</v>
      </c>
    </row>
    <row r="20" spans="1:10" x14ac:dyDescent="0.25">
      <c r="A20" s="19" t="s">
        <v>84</v>
      </c>
    </row>
    <row r="21" spans="1:10" x14ac:dyDescent="0.25">
      <c r="A21" s="19" t="s">
        <v>62</v>
      </c>
    </row>
    <row r="22" spans="1:10" ht="15.75" x14ac:dyDescent="0.25">
      <c r="A22" s="18" t="s">
        <v>67</v>
      </c>
    </row>
    <row r="23" spans="1:10" ht="15.75" x14ac:dyDescent="0.25">
      <c r="A23" s="18" t="s">
        <v>68</v>
      </c>
    </row>
    <row r="24" spans="1:10" ht="15.75" x14ac:dyDescent="0.25">
      <c r="A24" s="18" t="s">
        <v>69</v>
      </c>
    </row>
    <row r="25" spans="1:10" ht="15.75" x14ac:dyDescent="0.25">
      <c r="A25" s="33" t="s">
        <v>70</v>
      </c>
      <c r="B25" s="34"/>
      <c r="C25" s="34"/>
    </row>
    <row r="28" spans="1:10" x14ac:dyDescent="0.25">
      <c r="A28" s="19" t="s">
        <v>85</v>
      </c>
    </row>
    <row r="29" spans="1:10" ht="15.75" x14ac:dyDescent="0.25">
      <c r="A29" s="18" t="s">
        <v>71</v>
      </c>
    </row>
    <row r="30" spans="1:10" ht="15.75" x14ac:dyDescent="0.25">
      <c r="A30" s="18" t="s">
        <v>72</v>
      </c>
    </row>
    <row r="31" spans="1:10" ht="15.75" x14ac:dyDescent="0.25">
      <c r="A31" s="33" t="s">
        <v>74</v>
      </c>
      <c r="B31" s="34"/>
      <c r="C31" s="34"/>
      <c r="D31" s="34"/>
      <c r="E31" s="34"/>
      <c r="F31" s="34"/>
      <c r="G31" s="34"/>
      <c r="H31" s="34"/>
      <c r="I31" s="34"/>
      <c r="J31" s="34"/>
    </row>
    <row r="32" spans="1:10" ht="15.75" x14ac:dyDescent="0.25">
      <c r="A32" s="18" t="s">
        <v>73</v>
      </c>
    </row>
    <row r="36" spans="1:10" x14ac:dyDescent="0.25">
      <c r="A36" s="19" t="s">
        <v>90</v>
      </c>
    </row>
    <row r="37" spans="1:10" ht="15.75" x14ac:dyDescent="0.25">
      <c r="A37" s="18" t="s">
        <v>71</v>
      </c>
    </row>
    <row r="38" spans="1:10" ht="15.75" x14ac:dyDescent="0.25">
      <c r="A38" s="18" t="s">
        <v>75</v>
      </c>
    </row>
    <row r="39" spans="1:10" ht="15.75" x14ac:dyDescent="0.25">
      <c r="A39" s="18" t="s">
        <v>76</v>
      </c>
    </row>
    <row r="40" spans="1:10" ht="15.75" x14ac:dyDescent="0.25">
      <c r="A40" s="33" t="s">
        <v>81</v>
      </c>
      <c r="B40" s="34"/>
      <c r="C40" s="34"/>
      <c r="D40" s="34"/>
      <c r="E40" s="34"/>
      <c r="F40" s="34"/>
      <c r="G40" s="34"/>
      <c r="H40" s="34"/>
      <c r="I40" s="34"/>
      <c r="J40" s="34"/>
    </row>
    <row r="41" spans="1:10" ht="15.75" x14ac:dyDescent="0.25">
      <c r="A41" s="18" t="s">
        <v>77</v>
      </c>
    </row>
    <row r="44" spans="1:10" x14ac:dyDescent="0.25">
      <c r="A44" s="19" t="s">
        <v>91</v>
      </c>
    </row>
    <row r="45" spans="1:10" x14ac:dyDescent="0.25">
      <c r="A45" s="19" t="s">
        <v>78</v>
      </c>
    </row>
    <row r="46" spans="1:10" ht="15.75" x14ac:dyDescent="0.25">
      <c r="A46" s="18" t="s">
        <v>71</v>
      </c>
    </row>
    <row r="47" spans="1:10" ht="15.75" x14ac:dyDescent="0.25">
      <c r="A47" s="18" t="s">
        <v>79</v>
      </c>
    </row>
    <row r="48" spans="1:10" ht="15.75" x14ac:dyDescent="0.25">
      <c r="A48" s="33" t="s">
        <v>80</v>
      </c>
      <c r="B48" s="34"/>
      <c r="C48" s="34"/>
      <c r="D48" s="34"/>
      <c r="E48" s="34"/>
      <c r="F48" s="34"/>
      <c r="G48" s="34"/>
      <c r="H48" s="34"/>
      <c r="I48" s="34"/>
      <c r="J48" s="34"/>
    </row>
    <row r="49" spans="1:9" ht="15.75" x14ac:dyDescent="0.25">
      <c r="A49" s="18" t="s">
        <v>73</v>
      </c>
    </row>
    <row r="54" spans="1:9" x14ac:dyDescent="0.25">
      <c r="A54" s="19" t="s">
        <v>92</v>
      </c>
    </row>
    <row r="55" spans="1:9" x14ac:dyDescent="0.25">
      <c r="A55" s="19" t="s">
        <v>94</v>
      </c>
    </row>
    <row r="56" spans="1:9" ht="15.75" x14ac:dyDescent="0.25">
      <c r="A56" s="18" t="s">
        <v>86</v>
      </c>
    </row>
    <row r="57" spans="1:9" ht="15.75" x14ac:dyDescent="0.25">
      <c r="A57" s="18" t="s">
        <v>87</v>
      </c>
    </row>
    <row r="58" spans="1:9" ht="15.75" x14ac:dyDescent="0.25">
      <c r="A58" s="33" t="s">
        <v>93</v>
      </c>
      <c r="B58" s="34"/>
      <c r="C58" s="34"/>
      <c r="D58" s="34"/>
      <c r="E58" s="34"/>
      <c r="F58" s="34"/>
      <c r="G58" s="34"/>
      <c r="H58" s="34"/>
      <c r="I58" s="34"/>
    </row>
    <row r="59" spans="1:9" ht="15.75" x14ac:dyDescent="0.25">
      <c r="A59" s="18" t="s">
        <v>88</v>
      </c>
    </row>
    <row r="60" spans="1:9" ht="15.75" x14ac:dyDescent="0.25">
      <c r="A60" s="18" t="s">
        <v>89</v>
      </c>
    </row>
    <row r="63" spans="1:9" s="12" customFormat="1" x14ac:dyDescent="0.25">
      <c r="A63" s="19" t="s">
        <v>97</v>
      </c>
    </row>
    <row r="64" spans="1:9" s="12" customFormat="1" x14ac:dyDescent="0.25">
      <c r="A64" s="19"/>
    </row>
    <row r="65" spans="1:8" s="12" customFormat="1" ht="15.75" x14ac:dyDescent="0.25">
      <c r="A65" s="18" t="s">
        <v>98</v>
      </c>
    </row>
    <row r="66" spans="1:8" s="12" customFormat="1" ht="15.75" x14ac:dyDescent="0.25">
      <c r="A66" s="18" t="s">
        <v>99</v>
      </c>
    </row>
    <row r="67" spans="1:8" s="12" customFormat="1" ht="15.75" x14ac:dyDescent="0.25">
      <c r="A67" s="33" t="s">
        <v>109</v>
      </c>
      <c r="B67" s="34"/>
      <c r="C67" s="34"/>
      <c r="D67" s="34"/>
      <c r="E67" s="34"/>
      <c r="F67" s="34"/>
      <c r="G67" s="34"/>
      <c r="H67" s="34"/>
    </row>
    <row r="68" spans="1:8" s="12" customFormat="1" ht="15.75" x14ac:dyDescent="0.25">
      <c r="A68" s="18" t="s">
        <v>100</v>
      </c>
    </row>
    <row r="69" spans="1:8" s="12" customFormat="1" x14ac:dyDescent="0.25"/>
    <row r="70" spans="1:8" s="12" customFormat="1" x14ac:dyDescent="0.25">
      <c r="A70" s="19" t="s">
        <v>101</v>
      </c>
    </row>
    <row r="71" spans="1:8" s="12" customFormat="1" x14ac:dyDescent="0.25"/>
    <row r="72" spans="1:8" s="12" customFormat="1" ht="15.75" x14ac:dyDescent="0.25">
      <c r="A72" s="18" t="s">
        <v>102</v>
      </c>
    </row>
    <row r="73" spans="1:8" s="12" customFormat="1" ht="15.75" x14ac:dyDescent="0.25">
      <c r="A73" s="18" t="s">
        <v>103</v>
      </c>
    </row>
    <row r="74" spans="1:8" s="12" customFormat="1" ht="15.75" x14ac:dyDescent="0.25">
      <c r="A74" s="33" t="s">
        <v>110</v>
      </c>
      <c r="B74" s="34"/>
      <c r="C74" s="34"/>
      <c r="D74" s="34"/>
      <c r="E74" s="34"/>
      <c r="F74" s="34"/>
    </row>
    <row r="75" spans="1:8" s="12" customFormat="1" ht="15.75" x14ac:dyDescent="0.25">
      <c r="A75" s="18" t="s">
        <v>104</v>
      </c>
    </row>
    <row r="76" spans="1:8" s="12" customFormat="1" x14ac:dyDescent="0.25"/>
    <row r="77" spans="1:8" s="12" customFormat="1" x14ac:dyDescent="0.25">
      <c r="A77" s="19" t="s">
        <v>105</v>
      </c>
    </row>
    <row r="78" spans="1:8" s="12" customFormat="1" x14ac:dyDescent="0.25"/>
    <row r="79" spans="1:8" s="12" customFormat="1" ht="15.75" x14ac:dyDescent="0.25">
      <c r="A79" s="18" t="s">
        <v>106</v>
      </c>
    </row>
    <row r="80" spans="1:8" s="12" customFormat="1" ht="15.75" x14ac:dyDescent="0.25">
      <c r="A80" s="18" t="s">
        <v>107</v>
      </c>
    </row>
    <row r="81" spans="1:11" s="12" customFormat="1" ht="15.75" x14ac:dyDescent="0.25">
      <c r="A81" s="18" t="s">
        <v>108</v>
      </c>
    </row>
    <row r="82" spans="1:11" s="12" customFormat="1" ht="15.75" x14ac:dyDescent="0.25">
      <c r="A82" s="18" t="s">
        <v>108</v>
      </c>
      <c r="K82" s="22"/>
    </row>
  </sheetData>
  <pageMargins left="0.7" right="0.7" top="0.75" bottom="0.75" header="0.3" footer="0.3"/>
  <pageSetup paperSize="256" orientation="portrait" horizontalDpi="203" verticalDpi="203"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Документ" ma:contentTypeID="0x010100CFF4476A52389647B885520726CA6091" ma:contentTypeVersion="0" ma:contentTypeDescription="Создание документа." ma:contentTypeScope="" ma:versionID="3d89ba9bd00a703d13ecdd5231723030">
  <xsd:schema xmlns:xsd="http://www.w3.org/2001/XMLSchema" xmlns:xs="http://www.w3.org/2001/XMLSchema" xmlns:p="http://schemas.microsoft.com/office/2006/metadata/properties" targetNamespace="http://schemas.microsoft.com/office/2006/metadata/properties" ma:root="true" ma:fieldsID="89d58f4857a619b7c345529988bca397">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Тип контента"/>
        <xsd:element ref="dc:title" minOccurs="0" maxOccurs="1" ma:index="4" ma:displayName="Название"/>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9F322D5-9998-4345-BA12-D18413774DA2}">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E0B30112-7DF8-40A8-9BDF-E6D717F7EC9A}">
  <ds:schemaRefs>
    <ds:schemaRef ds:uri="http://schemas.microsoft.com/sharepoint/v3/contenttype/forms"/>
  </ds:schemaRefs>
</ds:datastoreItem>
</file>

<file path=customXml/itemProps3.xml><?xml version="1.0" encoding="utf-8"?>
<ds:datastoreItem xmlns:ds="http://schemas.openxmlformats.org/officeDocument/2006/customXml" ds:itemID="{F48179A8-7DDC-489B-BB08-B69B52EC0A7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4</vt:i4>
      </vt:variant>
    </vt:vector>
  </HeadingPairs>
  <TitlesOfParts>
    <vt:vector size="4" baseType="lpstr">
      <vt:lpstr>Задача 1</vt:lpstr>
      <vt:lpstr>Задача 2 </vt:lpstr>
      <vt:lpstr>Задача 3</vt:lpstr>
      <vt:lpstr>Тест</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Рожкова Маргарита Владимировна</dc:creator>
  <cp:lastModifiedBy>Gleb Gartman</cp:lastModifiedBy>
  <dcterms:created xsi:type="dcterms:W3CDTF">2018-10-12T04:12:19Z</dcterms:created>
  <dcterms:modified xsi:type="dcterms:W3CDTF">2026-01-28T17:15:18Z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0x010100CFF4476A52389647B885520726CA6091</vt:lpwstr>
  </property>
</Properties>
</file>